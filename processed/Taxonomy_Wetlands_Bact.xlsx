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luko/Library/Mobile Documents/com~apple~CloudDocs/Pós doc/Areas umidas/GitHub/processed/"/>
    </mc:Choice>
  </mc:AlternateContent>
  <xr:revisionPtr revIDLastSave="0" documentId="13_ncr:1_{92AE4390-30E1-5843-99CA-177EB0CF4F1D}" xr6:coauthVersionLast="47" xr6:coauthVersionMax="47" xr10:uidLastSave="{00000000-0000-0000-0000-000000000000}"/>
  <bookViews>
    <workbookView xWindow="3920" yWindow="500" windowWidth="28800" windowHeight="18000" activeTab="6" xr2:uid="{61793E35-E315-40D8-9485-B1311432FDAE}"/>
  </bookViews>
  <sheets>
    <sheet name="Phylum" sheetId="2" r:id="rId1"/>
    <sheet name="Class" sheetId="3" r:id="rId2"/>
    <sheet name="Class (2)" sheetId="9" r:id="rId3"/>
    <sheet name="Order" sheetId="5" r:id="rId4"/>
    <sheet name="Family" sheetId="6" r:id="rId5"/>
    <sheet name="Genus" sheetId="7" r:id="rId6"/>
    <sheet name="Phylum distribuition" sheetId="8" r:id="rId7"/>
    <sheet name="C N P_C N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/>
  <c r="L2" i="14" s="1"/>
  <c r="I3" i="14"/>
  <c r="L3" i="14"/>
  <c r="M3" i="14"/>
  <c r="I4" i="14"/>
  <c r="L4" i="14" s="1"/>
  <c r="M4" i="14"/>
  <c r="I5" i="14"/>
  <c r="L5" i="14"/>
  <c r="M5" i="14"/>
  <c r="I6" i="14"/>
  <c r="L6" i="14" s="1"/>
  <c r="I7" i="14"/>
  <c r="M7" i="14" s="1"/>
  <c r="L7" i="14"/>
  <c r="I8" i="14"/>
  <c r="L8" i="14"/>
  <c r="M8" i="14"/>
  <c r="I9" i="14"/>
  <c r="L9" i="14"/>
  <c r="M9" i="14"/>
  <c r="I10" i="14"/>
  <c r="L10" i="14" s="1"/>
  <c r="I11" i="14"/>
  <c r="M11" i="14" s="1"/>
  <c r="L11" i="14"/>
  <c r="I12" i="14"/>
  <c r="L12" i="14"/>
  <c r="M12" i="14"/>
  <c r="I13" i="14"/>
  <c r="L13" i="14"/>
  <c r="M13" i="14"/>
  <c r="I14" i="14"/>
  <c r="L14" i="14" s="1"/>
  <c r="I15" i="14"/>
  <c r="M15" i="14" s="1"/>
  <c r="L15" i="14"/>
  <c r="I16" i="14"/>
  <c r="L16" i="14"/>
  <c r="M16" i="14"/>
  <c r="I17" i="14"/>
  <c r="L17" i="14"/>
  <c r="M17" i="14"/>
  <c r="I18" i="14"/>
  <c r="L18" i="14" s="1"/>
  <c r="I19" i="14"/>
  <c r="M19" i="14" s="1"/>
  <c r="L19" i="14"/>
  <c r="I20" i="14"/>
  <c r="L20" i="14"/>
  <c r="M20" i="14"/>
  <c r="I21" i="14"/>
  <c r="L21" i="14"/>
  <c r="M21" i="14"/>
  <c r="I22" i="14"/>
  <c r="L22" i="14" s="1"/>
  <c r="I23" i="14"/>
  <c r="M23" i="14" s="1"/>
  <c r="L23" i="14"/>
  <c r="I24" i="14"/>
  <c r="L24" i="14"/>
  <c r="M24" i="14"/>
  <c r="I25" i="14"/>
  <c r="L25" i="14"/>
  <c r="M25" i="14"/>
  <c r="M22" i="14" l="1"/>
  <c r="M14" i="14"/>
  <c r="M2" i="14"/>
  <c r="M18" i="14"/>
  <c r="M10" i="14"/>
  <c r="M6" i="14"/>
  <c r="AG57" i="9"/>
  <c r="AG55" i="9"/>
  <c r="AG53" i="9"/>
  <c r="AG51" i="9"/>
  <c r="AG49" i="9"/>
  <c r="AG47" i="9"/>
  <c r="AG45" i="9"/>
  <c r="AG43" i="9"/>
  <c r="AG41" i="9"/>
  <c r="AG39" i="9"/>
  <c r="AG37" i="9"/>
  <c r="AG35" i="9"/>
  <c r="AG33" i="9"/>
  <c r="AG31" i="9"/>
  <c r="AG29" i="9"/>
  <c r="AG27" i="9"/>
  <c r="AG25" i="9"/>
  <c r="AG23" i="9"/>
  <c r="AG21" i="9"/>
  <c r="AG19" i="9"/>
  <c r="AG17" i="9"/>
  <c r="AG15" i="9"/>
  <c r="AG13" i="9"/>
  <c r="AG11" i="9"/>
  <c r="AG9" i="9"/>
  <c r="AG7" i="9"/>
  <c r="AG5" i="9"/>
  <c r="AG3" i="9"/>
  <c r="Y57" i="9"/>
  <c r="Y55" i="9"/>
  <c r="Y53" i="9"/>
  <c r="Y51" i="9"/>
  <c r="Y49" i="9"/>
  <c r="Y47" i="9"/>
  <c r="Y45" i="9"/>
  <c r="Y43" i="9"/>
  <c r="Y41" i="9"/>
  <c r="Y39" i="9"/>
  <c r="Y37" i="9"/>
  <c r="Y35" i="9"/>
  <c r="Y33" i="9"/>
  <c r="Y31" i="9"/>
  <c r="Y29" i="9"/>
  <c r="Y27" i="9"/>
  <c r="Y25" i="9"/>
  <c r="Y23" i="9"/>
  <c r="Y21" i="9"/>
  <c r="Y19" i="9"/>
  <c r="Y17" i="9"/>
  <c r="Y15" i="9"/>
  <c r="Y13" i="9"/>
  <c r="Y11" i="9"/>
  <c r="Y9" i="9"/>
  <c r="Y7" i="9"/>
  <c r="Y5" i="9"/>
  <c r="AF4" i="9"/>
  <c r="AF5" i="9"/>
  <c r="AF7" i="9"/>
  <c r="AE8" i="9" s="1"/>
  <c r="AF8" i="9" s="1"/>
  <c r="AF9" i="9"/>
  <c r="AF11" i="9"/>
  <c r="AE12" i="9" s="1"/>
  <c r="AF12" i="9" s="1"/>
  <c r="AF13" i="9"/>
  <c r="AF15" i="9"/>
  <c r="AE16" i="9" s="1"/>
  <c r="AF16" i="9" s="1"/>
  <c r="AF17" i="9"/>
  <c r="AF19" i="9"/>
  <c r="AE20" i="9" s="1"/>
  <c r="AF20" i="9" s="1"/>
  <c r="AF21" i="9"/>
  <c r="AF23" i="9"/>
  <c r="AE24" i="9" s="1"/>
  <c r="AF24" i="9" s="1"/>
  <c r="AF25" i="9"/>
  <c r="AF27" i="9"/>
  <c r="AE28" i="9" s="1"/>
  <c r="AF28" i="9" s="1"/>
  <c r="AF29" i="9"/>
  <c r="AF31" i="9"/>
  <c r="AE32" i="9" s="1"/>
  <c r="AF32" i="9" s="1"/>
  <c r="AF33" i="9"/>
  <c r="AF35" i="9"/>
  <c r="AE36" i="9" s="1"/>
  <c r="AF36" i="9" s="1"/>
  <c r="AF37" i="9"/>
  <c r="AF39" i="9"/>
  <c r="AE40" i="9" s="1"/>
  <c r="AF40" i="9" s="1"/>
  <c r="AF41" i="9"/>
  <c r="AF43" i="9"/>
  <c r="AE44" i="9" s="1"/>
  <c r="AF44" i="9" s="1"/>
  <c r="AF45" i="9"/>
  <c r="AF47" i="9"/>
  <c r="AE48" i="9" s="1"/>
  <c r="AF48" i="9" s="1"/>
  <c r="AF49" i="9"/>
  <c r="AF51" i="9"/>
  <c r="AE52" i="9" s="1"/>
  <c r="AF52" i="9" s="1"/>
  <c r="AF53" i="9"/>
  <c r="AF55" i="9"/>
  <c r="AE56" i="9" s="1"/>
  <c r="AF56" i="9" s="1"/>
  <c r="AF57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Q57" i="9"/>
  <c r="Q55" i="9"/>
  <c r="Q53" i="9"/>
  <c r="Q51" i="9"/>
  <c r="Q49" i="9"/>
  <c r="Q47" i="9"/>
  <c r="Q45" i="9"/>
  <c r="Q43" i="9"/>
  <c r="Q41" i="9"/>
  <c r="Q39" i="9"/>
  <c r="Q37" i="9"/>
  <c r="Q35" i="9"/>
  <c r="Q33" i="9"/>
  <c r="Q31" i="9"/>
  <c r="Q29" i="9"/>
  <c r="Q27" i="9"/>
  <c r="Q25" i="9"/>
  <c r="Q23" i="9"/>
  <c r="Q21" i="9"/>
  <c r="Q19" i="9"/>
  <c r="Q17" i="9"/>
  <c r="Q15" i="9"/>
  <c r="Q13" i="9"/>
  <c r="Q11" i="9"/>
  <c r="Q9" i="9"/>
  <c r="Q7" i="9"/>
  <c r="Q5" i="9"/>
  <c r="Q3" i="9"/>
  <c r="P58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I57" i="9"/>
  <c r="I55" i="9"/>
  <c r="I53" i="9"/>
  <c r="I51" i="9"/>
  <c r="I49" i="9"/>
  <c r="I47" i="9"/>
  <c r="I45" i="9"/>
  <c r="I43" i="9"/>
  <c r="I41" i="9"/>
  <c r="I39" i="9"/>
  <c r="I37" i="9"/>
  <c r="I35" i="9"/>
  <c r="I33" i="9"/>
  <c r="I31" i="9"/>
  <c r="I29" i="9"/>
  <c r="I27" i="9"/>
  <c r="I25" i="9"/>
  <c r="I23" i="9"/>
  <c r="I21" i="9"/>
  <c r="I19" i="9"/>
  <c r="I17" i="9"/>
  <c r="I15" i="9"/>
  <c r="I13" i="9"/>
  <c r="I11" i="9"/>
  <c r="I9" i="9"/>
  <c r="I7" i="9"/>
  <c r="I5" i="9"/>
  <c r="I3" i="9"/>
  <c r="AF3" i="9"/>
  <c r="X3" i="9"/>
  <c r="P3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3" i="9"/>
  <c r="H35" i="9"/>
  <c r="H37" i="9"/>
  <c r="H39" i="9"/>
  <c r="H41" i="9"/>
  <c r="H43" i="9"/>
  <c r="H45" i="9"/>
  <c r="H47" i="9"/>
  <c r="H49" i="9"/>
  <c r="H51" i="9"/>
  <c r="H53" i="9"/>
  <c r="H55" i="9"/>
  <c r="H57" i="9"/>
  <c r="H3" i="9"/>
  <c r="B6" i="9"/>
  <c r="T58" i="9"/>
  <c r="U58" i="9"/>
  <c r="V58" i="9"/>
  <c r="W58" i="9"/>
  <c r="Z58" i="9"/>
  <c r="AA58" i="9"/>
  <c r="AB58" i="9"/>
  <c r="AC58" i="9"/>
  <c r="AD58" i="9"/>
  <c r="AE58" i="9"/>
  <c r="AF58" i="9" s="1"/>
  <c r="N58" i="9"/>
  <c r="O58" i="9"/>
  <c r="R58" i="9"/>
  <c r="S58" i="9"/>
  <c r="C58" i="9"/>
  <c r="D58" i="9"/>
  <c r="E58" i="9"/>
  <c r="F58" i="9"/>
  <c r="G58" i="9"/>
  <c r="J58" i="9"/>
  <c r="K58" i="9"/>
  <c r="L58" i="9"/>
  <c r="M58" i="9"/>
  <c r="AD56" i="9"/>
  <c r="S56" i="9"/>
  <c r="T56" i="9"/>
  <c r="U56" i="9"/>
  <c r="V56" i="9"/>
  <c r="W56" i="9"/>
  <c r="Z56" i="9"/>
  <c r="AA56" i="9"/>
  <c r="AB56" i="9"/>
  <c r="AC56" i="9"/>
  <c r="C56" i="9"/>
  <c r="D56" i="9"/>
  <c r="E56" i="9"/>
  <c r="F56" i="9"/>
  <c r="G56" i="9"/>
  <c r="J56" i="9"/>
  <c r="K56" i="9"/>
  <c r="L56" i="9"/>
  <c r="M56" i="9"/>
  <c r="N56" i="9"/>
  <c r="O56" i="9"/>
  <c r="R56" i="9"/>
  <c r="C54" i="9"/>
  <c r="D54" i="9"/>
  <c r="E54" i="9"/>
  <c r="F54" i="9"/>
  <c r="G54" i="9"/>
  <c r="J54" i="9"/>
  <c r="K54" i="9"/>
  <c r="L54" i="9"/>
  <c r="M54" i="9"/>
  <c r="N54" i="9"/>
  <c r="O54" i="9"/>
  <c r="R54" i="9"/>
  <c r="S54" i="9"/>
  <c r="T54" i="9"/>
  <c r="U54" i="9"/>
  <c r="V54" i="9"/>
  <c r="W54" i="9"/>
  <c r="Z54" i="9"/>
  <c r="AA54" i="9"/>
  <c r="AB54" i="9"/>
  <c r="AC54" i="9"/>
  <c r="AD54" i="9"/>
  <c r="AE54" i="9"/>
  <c r="AF54" i="9" s="1"/>
  <c r="C52" i="9"/>
  <c r="D52" i="9"/>
  <c r="E52" i="9"/>
  <c r="F52" i="9"/>
  <c r="G52" i="9"/>
  <c r="J52" i="9"/>
  <c r="K52" i="9"/>
  <c r="L52" i="9"/>
  <c r="M52" i="9"/>
  <c r="N52" i="9"/>
  <c r="O52" i="9"/>
  <c r="R52" i="9"/>
  <c r="S52" i="9"/>
  <c r="T52" i="9"/>
  <c r="U52" i="9"/>
  <c r="V52" i="9"/>
  <c r="W52" i="9"/>
  <c r="Z52" i="9"/>
  <c r="AA52" i="9"/>
  <c r="AB52" i="9"/>
  <c r="AC52" i="9"/>
  <c r="AD52" i="9"/>
  <c r="C50" i="9"/>
  <c r="D50" i="9"/>
  <c r="E50" i="9"/>
  <c r="F50" i="9"/>
  <c r="G50" i="9"/>
  <c r="J50" i="9"/>
  <c r="K50" i="9"/>
  <c r="L50" i="9"/>
  <c r="M50" i="9"/>
  <c r="N50" i="9"/>
  <c r="O50" i="9"/>
  <c r="R50" i="9"/>
  <c r="S50" i="9"/>
  <c r="T50" i="9"/>
  <c r="U50" i="9"/>
  <c r="V50" i="9"/>
  <c r="W50" i="9"/>
  <c r="Z50" i="9"/>
  <c r="AA50" i="9"/>
  <c r="AB50" i="9"/>
  <c r="AC50" i="9"/>
  <c r="AD50" i="9"/>
  <c r="AE50" i="9"/>
  <c r="AF50" i="9" s="1"/>
  <c r="C48" i="9"/>
  <c r="D48" i="9"/>
  <c r="E48" i="9"/>
  <c r="F48" i="9"/>
  <c r="G48" i="9"/>
  <c r="J48" i="9"/>
  <c r="K48" i="9"/>
  <c r="L48" i="9"/>
  <c r="M48" i="9"/>
  <c r="N48" i="9"/>
  <c r="O48" i="9"/>
  <c r="R48" i="9"/>
  <c r="S48" i="9"/>
  <c r="T48" i="9"/>
  <c r="U48" i="9"/>
  <c r="V48" i="9"/>
  <c r="W48" i="9"/>
  <c r="Z48" i="9"/>
  <c r="AA48" i="9"/>
  <c r="AB48" i="9"/>
  <c r="AC48" i="9"/>
  <c r="AD48" i="9"/>
  <c r="C46" i="9"/>
  <c r="D46" i="9"/>
  <c r="E46" i="9"/>
  <c r="F46" i="9"/>
  <c r="G46" i="9"/>
  <c r="J46" i="9"/>
  <c r="K46" i="9"/>
  <c r="L46" i="9"/>
  <c r="M46" i="9"/>
  <c r="N46" i="9"/>
  <c r="O46" i="9"/>
  <c r="R46" i="9"/>
  <c r="S46" i="9"/>
  <c r="T46" i="9"/>
  <c r="U46" i="9"/>
  <c r="V46" i="9"/>
  <c r="W46" i="9"/>
  <c r="Z46" i="9"/>
  <c r="AA46" i="9"/>
  <c r="AB46" i="9"/>
  <c r="AC46" i="9"/>
  <c r="AD46" i="9"/>
  <c r="AE46" i="9"/>
  <c r="AF46" i="9" s="1"/>
  <c r="C44" i="9"/>
  <c r="D44" i="9"/>
  <c r="E44" i="9"/>
  <c r="F44" i="9"/>
  <c r="G44" i="9"/>
  <c r="J44" i="9"/>
  <c r="K44" i="9"/>
  <c r="L44" i="9"/>
  <c r="M44" i="9"/>
  <c r="N44" i="9"/>
  <c r="O44" i="9"/>
  <c r="R44" i="9"/>
  <c r="S44" i="9"/>
  <c r="T44" i="9"/>
  <c r="U44" i="9"/>
  <c r="V44" i="9"/>
  <c r="W44" i="9"/>
  <c r="Z44" i="9"/>
  <c r="AA44" i="9"/>
  <c r="AB44" i="9"/>
  <c r="AC44" i="9"/>
  <c r="AD44" i="9"/>
  <c r="C42" i="9"/>
  <c r="D42" i="9"/>
  <c r="E42" i="9"/>
  <c r="F42" i="9"/>
  <c r="G42" i="9"/>
  <c r="J42" i="9"/>
  <c r="K42" i="9"/>
  <c r="L42" i="9"/>
  <c r="M42" i="9"/>
  <c r="N42" i="9"/>
  <c r="O42" i="9"/>
  <c r="R42" i="9"/>
  <c r="S42" i="9"/>
  <c r="T42" i="9"/>
  <c r="U42" i="9"/>
  <c r="V42" i="9"/>
  <c r="W42" i="9"/>
  <c r="Z42" i="9"/>
  <c r="AA42" i="9"/>
  <c r="AB42" i="9"/>
  <c r="AC42" i="9"/>
  <c r="AD42" i="9"/>
  <c r="AE42" i="9"/>
  <c r="AF42" i="9" s="1"/>
  <c r="C40" i="9"/>
  <c r="D40" i="9"/>
  <c r="E40" i="9"/>
  <c r="F40" i="9"/>
  <c r="G40" i="9"/>
  <c r="J40" i="9"/>
  <c r="K40" i="9"/>
  <c r="L40" i="9"/>
  <c r="M40" i="9"/>
  <c r="N40" i="9"/>
  <c r="O40" i="9"/>
  <c r="R40" i="9"/>
  <c r="S40" i="9"/>
  <c r="T40" i="9"/>
  <c r="U40" i="9"/>
  <c r="V40" i="9"/>
  <c r="W40" i="9"/>
  <c r="Z40" i="9"/>
  <c r="AA40" i="9"/>
  <c r="AB40" i="9"/>
  <c r="AC40" i="9"/>
  <c r="AD40" i="9"/>
  <c r="C38" i="9"/>
  <c r="D38" i="9"/>
  <c r="E38" i="9"/>
  <c r="F38" i="9"/>
  <c r="G38" i="9"/>
  <c r="J38" i="9"/>
  <c r="K38" i="9"/>
  <c r="L38" i="9"/>
  <c r="M38" i="9"/>
  <c r="N38" i="9"/>
  <c r="O38" i="9"/>
  <c r="R38" i="9"/>
  <c r="S38" i="9"/>
  <c r="T38" i="9"/>
  <c r="U38" i="9"/>
  <c r="V38" i="9"/>
  <c r="W38" i="9"/>
  <c r="Z38" i="9"/>
  <c r="AA38" i="9"/>
  <c r="AB38" i="9"/>
  <c r="AC38" i="9"/>
  <c r="AD38" i="9"/>
  <c r="AE38" i="9"/>
  <c r="AF38" i="9" s="1"/>
  <c r="C36" i="9"/>
  <c r="D36" i="9"/>
  <c r="E36" i="9"/>
  <c r="F36" i="9"/>
  <c r="G36" i="9"/>
  <c r="J36" i="9"/>
  <c r="K36" i="9"/>
  <c r="L36" i="9"/>
  <c r="M36" i="9"/>
  <c r="N36" i="9"/>
  <c r="O36" i="9"/>
  <c r="R36" i="9"/>
  <c r="S36" i="9"/>
  <c r="T36" i="9"/>
  <c r="U36" i="9"/>
  <c r="V36" i="9"/>
  <c r="W36" i="9"/>
  <c r="Z36" i="9"/>
  <c r="AA36" i="9"/>
  <c r="AB36" i="9"/>
  <c r="AC36" i="9"/>
  <c r="AD36" i="9"/>
  <c r="C34" i="9"/>
  <c r="D34" i="9"/>
  <c r="E34" i="9"/>
  <c r="F34" i="9"/>
  <c r="G34" i="9"/>
  <c r="J34" i="9"/>
  <c r="K34" i="9"/>
  <c r="L34" i="9"/>
  <c r="M34" i="9"/>
  <c r="N34" i="9"/>
  <c r="O34" i="9"/>
  <c r="R34" i="9"/>
  <c r="S34" i="9"/>
  <c r="T34" i="9"/>
  <c r="U34" i="9"/>
  <c r="V34" i="9"/>
  <c r="W34" i="9"/>
  <c r="Z34" i="9"/>
  <c r="AA34" i="9"/>
  <c r="AB34" i="9"/>
  <c r="AC34" i="9"/>
  <c r="AD34" i="9"/>
  <c r="AE34" i="9"/>
  <c r="AF34" i="9" s="1"/>
  <c r="C32" i="9"/>
  <c r="D32" i="9"/>
  <c r="E32" i="9"/>
  <c r="F32" i="9"/>
  <c r="G32" i="9"/>
  <c r="J32" i="9"/>
  <c r="K32" i="9"/>
  <c r="L32" i="9"/>
  <c r="M32" i="9"/>
  <c r="N32" i="9"/>
  <c r="O32" i="9"/>
  <c r="R32" i="9"/>
  <c r="S32" i="9"/>
  <c r="T32" i="9"/>
  <c r="U32" i="9"/>
  <c r="V32" i="9"/>
  <c r="W32" i="9"/>
  <c r="Z32" i="9"/>
  <c r="AA32" i="9"/>
  <c r="AB32" i="9"/>
  <c r="AC32" i="9"/>
  <c r="AD32" i="9"/>
  <c r="C30" i="9"/>
  <c r="D30" i="9"/>
  <c r="E30" i="9"/>
  <c r="F30" i="9"/>
  <c r="G30" i="9"/>
  <c r="J30" i="9"/>
  <c r="K30" i="9"/>
  <c r="L30" i="9"/>
  <c r="M30" i="9"/>
  <c r="N30" i="9"/>
  <c r="O30" i="9"/>
  <c r="R30" i="9"/>
  <c r="S30" i="9"/>
  <c r="T30" i="9"/>
  <c r="U30" i="9"/>
  <c r="V30" i="9"/>
  <c r="W30" i="9"/>
  <c r="Z30" i="9"/>
  <c r="AA30" i="9"/>
  <c r="AB30" i="9"/>
  <c r="AC30" i="9"/>
  <c r="AD30" i="9"/>
  <c r="AE30" i="9"/>
  <c r="AF30" i="9" s="1"/>
  <c r="C28" i="9"/>
  <c r="D28" i="9"/>
  <c r="E28" i="9"/>
  <c r="F28" i="9"/>
  <c r="G28" i="9"/>
  <c r="J28" i="9"/>
  <c r="K28" i="9"/>
  <c r="L28" i="9"/>
  <c r="M28" i="9"/>
  <c r="N28" i="9"/>
  <c r="O28" i="9"/>
  <c r="R28" i="9"/>
  <c r="S28" i="9"/>
  <c r="T28" i="9"/>
  <c r="U28" i="9"/>
  <c r="V28" i="9"/>
  <c r="W28" i="9"/>
  <c r="Z28" i="9"/>
  <c r="AA28" i="9"/>
  <c r="AB28" i="9"/>
  <c r="AC28" i="9"/>
  <c r="AD28" i="9"/>
  <c r="C26" i="9"/>
  <c r="D26" i="9"/>
  <c r="E26" i="9"/>
  <c r="F26" i="9"/>
  <c r="G26" i="9"/>
  <c r="J26" i="9"/>
  <c r="K26" i="9"/>
  <c r="L26" i="9"/>
  <c r="M26" i="9"/>
  <c r="N26" i="9"/>
  <c r="O26" i="9"/>
  <c r="R26" i="9"/>
  <c r="S26" i="9"/>
  <c r="T26" i="9"/>
  <c r="U26" i="9"/>
  <c r="V26" i="9"/>
  <c r="W26" i="9"/>
  <c r="Z26" i="9"/>
  <c r="AA26" i="9"/>
  <c r="AB26" i="9"/>
  <c r="AC26" i="9"/>
  <c r="AD26" i="9"/>
  <c r="AE26" i="9"/>
  <c r="AF26" i="9" s="1"/>
  <c r="AC24" i="9"/>
  <c r="AD24" i="9"/>
  <c r="C24" i="9"/>
  <c r="D24" i="9"/>
  <c r="E24" i="9"/>
  <c r="F24" i="9"/>
  <c r="G24" i="9"/>
  <c r="J24" i="9"/>
  <c r="K24" i="9"/>
  <c r="L24" i="9"/>
  <c r="M24" i="9"/>
  <c r="N24" i="9"/>
  <c r="O24" i="9"/>
  <c r="R24" i="9"/>
  <c r="S24" i="9"/>
  <c r="T24" i="9"/>
  <c r="U24" i="9"/>
  <c r="V24" i="9"/>
  <c r="W24" i="9"/>
  <c r="Z24" i="9"/>
  <c r="AA24" i="9"/>
  <c r="AB24" i="9"/>
  <c r="C22" i="9"/>
  <c r="D22" i="9"/>
  <c r="E22" i="9"/>
  <c r="F22" i="9"/>
  <c r="G22" i="9"/>
  <c r="J22" i="9"/>
  <c r="K22" i="9"/>
  <c r="L22" i="9"/>
  <c r="M22" i="9"/>
  <c r="N22" i="9"/>
  <c r="O22" i="9"/>
  <c r="R22" i="9"/>
  <c r="S22" i="9"/>
  <c r="T22" i="9"/>
  <c r="U22" i="9"/>
  <c r="V22" i="9"/>
  <c r="W22" i="9"/>
  <c r="Z22" i="9"/>
  <c r="AA22" i="9"/>
  <c r="AB22" i="9"/>
  <c r="AC22" i="9"/>
  <c r="AD22" i="9"/>
  <c r="AE22" i="9"/>
  <c r="AF22" i="9" s="1"/>
  <c r="C20" i="9"/>
  <c r="D20" i="9"/>
  <c r="E20" i="9"/>
  <c r="F20" i="9"/>
  <c r="G20" i="9"/>
  <c r="J20" i="9"/>
  <c r="K20" i="9"/>
  <c r="L20" i="9"/>
  <c r="M20" i="9"/>
  <c r="N20" i="9"/>
  <c r="O20" i="9"/>
  <c r="R20" i="9"/>
  <c r="S20" i="9"/>
  <c r="T20" i="9"/>
  <c r="U20" i="9"/>
  <c r="V20" i="9"/>
  <c r="W20" i="9"/>
  <c r="Z20" i="9"/>
  <c r="AA20" i="9"/>
  <c r="AB20" i="9"/>
  <c r="AC20" i="9"/>
  <c r="AD20" i="9"/>
  <c r="C18" i="9"/>
  <c r="D18" i="9"/>
  <c r="E18" i="9"/>
  <c r="F18" i="9"/>
  <c r="G18" i="9"/>
  <c r="J18" i="9"/>
  <c r="K18" i="9"/>
  <c r="L18" i="9"/>
  <c r="M18" i="9"/>
  <c r="N18" i="9"/>
  <c r="O18" i="9"/>
  <c r="R18" i="9"/>
  <c r="S18" i="9"/>
  <c r="T18" i="9"/>
  <c r="U18" i="9"/>
  <c r="V18" i="9"/>
  <c r="W18" i="9"/>
  <c r="Z18" i="9"/>
  <c r="AA18" i="9"/>
  <c r="AB18" i="9"/>
  <c r="AC18" i="9"/>
  <c r="AD18" i="9"/>
  <c r="AE18" i="9"/>
  <c r="AF18" i="9" s="1"/>
  <c r="C16" i="9"/>
  <c r="D16" i="9"/>
  <c r="E16" i="9"/>
  <c r="F16" i="9"/>
  <c r="G16" i="9"/>
  <c r="J16" i="9"/>
  <c r="K16" i="9"/>
  <c r="L16" i="9"/>
  <c r="M16" i="9"/>
  <c r="N16" i="9"/>
  <c r="O16" i="9"/>
  <c r="R16" i="9"/>
  <c r="S16" i="9"/>
  <c r="T16" i="9"/>
  <c r="U16" i="9"/>
  <c r="V16" i="9"/>
  <c r="W16" i="9"/>
  <c r="Z16" i="9"/>
  <c r="AA16" i="9"/>
  <c r="AB16" i="9"/>
  <c r="AC16" i="9"/>
  <c r="AD16" i="9"/>
  <c r="C14" i="9"/>
  <c r="D14" i="9"/>
  <c r="H14" i="9" s="1"/>
  <c r="E14" i="9"/>
  <c r="F14" i="9"/>
  <c r="G14" i="9"/>
  <c r="J14" i="9"/>
  <c r="K14" i="9"/>
  <c r="L14" i="9"/>
  <c r="M14" i="9"/>
  <c r="N14" i="9"/>
  <c r="O14" i="9"/>
  <c r="R14" i="9"/>
  <c r="S14" i="9"/>
  <c r="T14" i="9"/>
  <c r="U14" i="9"/>
  <c r="V14" i="9"/>
  <c r="W14" i="9"/>
  <c r="Z14" i="9"/>
  <c r="AA14" i="9"/>
  <c r="AB14" i="9"/>
  <c r="AC14" i="9"/>
  <c r="AD14" i="9"/>
  <c r="AE14" i="9"/>
  <c r="AF14" i="9" s="1"/>
  <c r="C12" i="9"/>
  <c r="D12" i="9"/>
  <c r="E12" i="9"/>
  <c r="F12" i="9"/>
  <c r="G12" i="9"/>
  <c r="J12" i="9"/>
  <c r="K12" i="9"/>
  <c r="L12" i="9"/>
  <c r="M12" i="9"/>
  <c r="N12" i="9"/>
  <c r="O12" i="9"/>
  <c r="R12" i="9"/>
  <c r="S12" i="9"/>
  <c r="T12" i="9"/>
  <c r="U12" i="9"/>
  <c r="V12" i="9"/>
  <c r="W12" i="9"/>
  <c r="Z12" i="9"/>
  <c r="AA12" i="9"/>
  <c r="AB12" i="9"/>
  <c r="AC12" i="9"/>
  <c r="AD12" i="9"/>
  <c r="C10" i="9"/>
  <c r="D10" i="9"/>
  <c r="E10" i="9"/>
  <c r="F10" i="9"/>
  <c r="G10" i="9"/>
  <c r="J10" i="9"/>
  <c r="K10" i="9"/>
  <c r="L10" i="9"/>
  <c r="M10" i="9"/>
  <c r="N10" i="9"/>
  <c r="O10" i="9"/>
  <c r="R10" i="9"/>
  <c r="S10" i="9"/>
  <c r="T10" i="9"/>
  <c r="U10" i="9"/>
  <c r="V10" i="9"/>
  <c r="W10" i="9"/>
  <c r="Z10" i="9"/>
  <c r="AA10" i="9"/>
  <c r="AB10" i="9"/>
  <c r="AC10" i="9"/>
  <c r="AD10" i="9"/>
  <c r="AE10" i="9"/>
  <c r="AF10" i="9" s="1"/>
  <c r="C8" i="9"/>
  <c r="D8" i="9"/>
  <c r="E8" i="9"/>
  <c r="F8" i="9"/>
  <c r="G8" i="9"/>
  <c r="J8" i="9"/>
  <c r="K8" i="9"/>
  <c r="L8" i="9"/>
  <c r="M8" i="9"/>
  <c r="N8" i="9"/>
  <c r="O8" i="9"/>
  <c r="R8" i="9"/>
  <c r="S8" i="9"/>
  <c r="T8" i="9"/>
  <c r="U8" i="9"/>
  <c r="V8" i="9"/>
  <c r="W8" i="9"/>
  <c r="Z8" i="9"/>
  <c r="AA8" i="9"/>
  <c r="AB8" i="9"/>
  <c r="AC8" i="9"/>
  <c r="AD8" i="9"/>
  <c r="C6" i="9"/>
  <c r="D6" i="9"/>
  <c r="E6" i="9"/>
  <c r="F6" i="9"/>
  <c r="G6" i="9"/>
  <c r="J6" i="9"/>
  <c r="K6" i="9"/>
  <c r="L6" i="9"/>
  <c r="M6" i="9"/>
  <c r="N6" i="9"/>
  <c r="O6" i="9"/>
  <c r="R6" i="9"/>
  <c r="S6" i="9"/>
  <c r="T6" i="9"/>
  <c r="U6" i="9"/>
  <c r="V6" i="9"/>
  <c r="W6" i="9"/>
  <c r="Z6" i="9"/>
  <c r="AA6" i="9"/>
  <c r="AB6" i="9"/>
  <c r="AC6" i="9"/>
  <c r="AD6" i="9"/>
  <c r="AE6" i="9"/>
  <c r="AF6" i="9" s="1"/>
  <c r="D4" i="9"/>
  <c r="C4" i="9"/>
  <c r="E4" i="9"/>
  <c r="F4" i="9"/>
  <c r="G4" i="9"/>
  <c r="J4" i="9"/>
  <c r="K4" i="9"/>
  <c r="L4" i="9"/>
  <c r="M4" i="9"/>
  <c r="N4" i="9"/>
  <c r="O4" i="9"/>
  <c r="R4" i="9"/>
  <c r="S4" i="9"/>
  <c r="T4" i="9"/>
  <c r="U4" i="9"/>
  <c r="V4" i="9"/>
  <c r="X4" i="9" s="1"/>
  <c r="W4" i="9"/>
  <c r="Z4" i="9"/>
  <c r="AA4" i="9"/>
  <c r="AB4" i="9"/>
  <c r="AC4" i="9"/>
  <c r="AD4" i="9"/>
  <c r="AE4" i="9"/>
  <c r="B58" i="9"/>
  <c r="B56" i="9"/>
  <c r="H56" i="9" s="1"/>
  <c r="B54" i="9"/>
  <c r="B52" i="9"/>
  <c r="H52" i="9" s="1"/>
  <c r="B50" i="9"/>
  <c r="B48" i="9"/>
  <c r="H48" i="9" s="1"/>
  <c r="B46" i="9"/>
  <c r="B44" i="9"/>
  <c r="H44" i="9" s="1"/>
  <c r="B42" i="9"/>
  <c r="B40" i="9"/>
  <c r="H40" i="9" s="1"/>
  <c r="B38" i="9"/>
  <c r="B36" i="9"/>
  <c r="H36" i="9" s="1"/>
  <c r="B34" i="9"/>
  <c r="B32" i="9"/>
  <c r="H32" i="9" s="1"/>
  <c r="B30" i="9"/>
  <c r="B28" i="9"/>
  <c r="H28" i="9" s="1"/>
  <c r="B26" i="9"/>
  <c r="B24" i="9"/>
  <c r="B22" i="9"/>
  <c r="B20" i="9"/>
  <c r="H20" i="9" s="1"/>
  <c r="B18" i="9"/>
  <c r="B16" i="9"/>
  <c r="B14" i="9"/>
  <c r="B12" i="9"/>
  <c r="H12" i="9" s="1"/>
  <c r="B10" i="9"/>
  <c r="B8" i="9"/>
  <c r="B4" i="9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V40" i="2"/>
  <c r="V41" i="2"/>
  <c r="V42" i="2"/>
  <c r="V43" i="2"/>
  <c r="V44" i="2"/>
  <c r="V45" i="2"/>
  <c r="V46" i="2"/>
  <c r="V47" i="2"/>
  <c r="V48" i="2"/>
  <c r="V49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2" i="2"/>
  <c r="P43" i="2"/>
  <c r="P44" i="2"/>
  <c r="P45" i="2"/>
  <c r="P46" i="2"/>
  <c r="P47" i="2"/>
  <c r="P48" i="2"/>
  <c r="P4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2" i="2"/>
  <c r="I42" i="2"/>
  <c r="I43" i="2"/>
  <c r="I44" i="2"/>
  <c r="I45" i="2"/>
  <c r="I46" i="2"/>
  <c r="I47" i="2"/>
  <c r="I48" i="2"/>
  <c r="I4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" i="2"/>
  <c r="B2" i="2"/>
  <c r="AA50" i="2"/>
  <c r="X50" i="2"/>
  <c r="Y50" i="2"/>
  <c r="Z50" i="2"/>
  <c r="Q50" i="2"/>
  <c r="R50" i="2"/>
  <c r="S50" i="2"/>
  <c r="T50" i="2"/>
  <c r="U50" i="2"/>
  <c r="W50" i="2"/>
  <c r="D50" i="2"/>
  <c r="E50" i="2"/>
  <c r="F50" i="2"/>
  <c r="G50" i="2"/>
  <c r="H50" i="2"/>
  <c r="J50" i="2"/>
  <c r="K50" i="2"/>
  <c r="L50" i="2"/>
  <c r="M50" i="2"/>
  <c r="N50" i="2"/>
  <c r="O50" i="2"/>
  <c r="C50" i="2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B369" i="7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B217" i="6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B173" i="5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B122" i="3"/>
  <c r="Y3" i="9" l="1"/>
  <c r="H22" i="9"/>
  <c r="H30" i="9"/>
  <c r="H38" i="9"/>
  <c r="H46" i="9"/>
  <c r="H54" i="9"/>
  <c r="H58" i="9"/>
  <c r="H6" i="9"/>
  <c r="H4" i="9"/>
  <c r="H16" i="9"/>
  <c r="H24" i="9"/>
  <c r="H10" i="9"/>
  <c r="H18" i="9"/>
  <c r="H26" i="9"/>
  <c r="H34" i="9"/>
  <c r="H42" i="9"/>
  <c r="H50" i="9"/>
  <c r="H8" i="9"/>
  <c r="AB50" i="2"/>
</calcChain>
</file>

<file path=xl/sharedStrings.xml><?xml version="1.0" encoding="utf-8"?>
<sst xmlns="http://schemas.openxmlformats.org/spreadsheetml/2006/main" count="1236" uniqueCount="980">
  <si>
    <t>Unclassified Bacteria</t>
  </si>
  <si>
    <t>S9</t>
  </si>
  <si>
    <t>S8</t>
  </si>
  <si>
    <t>S7</t>
  </si>
  <si>
    <t>S6</t>
  </si>
  <si>
    <t>S5</t>
  </si>
  <si>
    <t>S4</t>
  </si>
  <si>
    <t>S3</t>
  </si>
  <si>
    <t>S24</t>
  </si>
  <si>
    <t>S23</t>
  </si>
  <si>
    <t>S22</t>
  </si>
  <si>
    <t>S21</t>
  </si>
  <si>
    <t>S20</t>
  </si>
  <si>
    <t>S2</t>
  </si>
  <si>
    <t>S18</t>
  </si>
  <si>
    <t>S17</t>
  </si>
  <si>
    <t>S16</t>
  </si>
  <si>
    <t>S15</t>
  </si>
  <si>
    <t>S13</t>
  </si>
  <si>
    <t>S12</t>
  </si>
  <si>
    <t>S11</t>
  </si>
  <si>
    <t>S10</t>
  </si>
  <si>
    <t>S1</t>
  </si>
  <si>
    <t>Phylum</t>
  </si>
  <si>
    <t>AC1</t>
  </si>
  <si>
    <t>Acidobacteria</t>
  </si>
  <si>
    <t>Actinobacteria</t>
  </si>
  <si>
    <t>AD3</t>
  </si>
  <si>
    <t>Aquificae</t>
  </si>
  <si>
    <t>Armatimonadetes</t>
  </si>
  <si>
    <t>Bacteroidetes</t>
  </si>
  <si>
    <t>BRC1</t>
  </si>
  <si>
    <t>Chlamydiae</t>
  </si>
  <si>
    <t>Chlorobi</t>
  </si>
  <si>
    <t>Chloroflexi</t>
  </si>
  <si>
    <t>Cyanobacteria</t>
  </si>
  <si>
    <t>Elusimicrobia</t>
  </si>
  <si>
    <t>FBP</t>
  </si>
  <si>
    <t>FCPU426</t>
  </si>
  <si>
    <t>Fibrobacteres</t>
  </si>
  <si>
    <t>Firmicutes</t>
  </si>
  <si>
    <t>Fusobacteria</t>
  </si>
  <si>
    <t>GAL15</t>
  </si>
  <si>
    <t>Gemmatimonadetes</t>
  </si>
  <si>
    <t>GN02</t>
  </si>
  <si>
    <t>GOUTA4</t>
  </si>
  <si>
    <t>Lentisphaerae</t>
  </si>
  <si>
    <t>MVP-21</t>
  </si>
  <si>
    <t>NC10</t>
  </si>
  <si>
    <t>Nitrospirae</t>
  </si>
  <si>
    <t>NKB19</t>
  </si>
  <si>
    <t>OD1</t>
  </si>
  <si>
    <t>OP11</t>
  </si>
  <si>
    <t>OP3</t>
  </si>
  <si>
    <t>OP9</t>
  </si>
  <si>
    <t>Planctomycetes</t>
  </si>
  <si>
    <t>Proteobacteria</t>
  </si>
  <si>
    <t>SC4</t>
  </si>
  <si>
    <t>Spirochaetes</t>
  </si>
  <si>
    <t>SR1</t>
  </si>
  <si>
    <t>Synergistetes</t>
  </si>
  <si>
    <t>Tenericutes</t>
  </si>
  <si>
    <t>TM6</t>
  </si>
  <si>
    <t>TM7</t>
  </si>
  <si>
    <t>Verrucomicrobia</t>
  </si>
  <si>
    <t>WPS-2</t>
  </si>
  <si>
    <t>WS2</t>
  </si>
  <si>
    <t>WS3</t>
  </si>
  <si>
    <t>WS4</t>
  </si>
  <si>
    <t>WS5</t>
  </si>
  <si>
    <t>WS6</t>
  </si>
  <si>
    <t xml:space="preserve"> c__iii1-8</t>
  </si>
  <si>
    <t xml:space="preserve"> c__12-24</t>
  </si>
  <si>
    <t>Class</t>
  </si>
  <si>
    <t>Brevinematae</t>
  </si>
  <si>
    <t>Chloracidobacteria</t>
  </si>
  <si>
    <t>Fimbriimonadia</t>
  </si>
  <si>
    <t>Lentisphaeria</t>
  </si>
  <si>
    <t>Leptospirae</t>
  </si>
  <si>
    <t>Methylacidiphilae</t>
  </si>
  <si>
    <t>Pedosphaerae</t>
  </si>
  <si>
    <t>Saprospirae</t>
  </si>
  <si>
    <t>Spartobacteria</t>
  </si>
  <si>
    <t>028H05-P-BN-P5</t>
  </si>
  <si>
    <t>0319-6E2</t>
  </si>
  <si>
    <t>3BR-5F</t>
  </si>
  <si>
    <t>4C0d-2</t>
  </si>
  <si>
    <t>ABS-6</t>
  </si>
  <si>
    <t>ABY1</t>
  </si>
  <si>
    <t>Acidimicrobiia</t>
  </si>
  <si>
    <t>Acidobacteria-6</t>
  </si>
  <si>
    <t>Acidobacteriia</t>
  </si>
  <si>
    <t>Alphaproteobacteria</t>
  </si>
  <si>
    <t>Anaerolineae</t>
  </si>
  <si>
    <t>Armatimonadia</t>
  </si>
  <si>
    <t>B142</t>
  </si>
  <si>
    <t>Bacilli</t>
  </si>
  <si>
    <t>Bacteroidia</t>
  </si>
  <si>
    <t>BD1-5</t>
  </si>
  <si>
    <t>BD7-11</t>
  </si>
  <si>
    <t>Betaproteobacteria</t>
  </si>
  <si>
    <t>BSV26</t>
  </si>
  <si>
    <t>C0119</t>
  </si>
  <si>
    <t>C6</t>
  </si>
  <si>
    <t>Chlamydiia</t>
  </si>
  <si>
    <t>Chlorobia</t>
  </si>
  <si>
    <t>Chloroplast</t>
  </si>
  <si>
    <t>Chthonomonadetes</t>
  </si>
  <si>
    <t>Clostridia</t>
  </si>
  <si>
    <t>Coriobacteriia</t>
  </si>
  <si>
    <t>Cytophagia</t>
  </si>
  <si>
    <t>DA052</t>
  </si>
  <si>
    <t>Dehalococcoidetes</t>
  </si>
  <si>
    <t>Deltaproteobacteria</t>
  </si>
  <si>
    <t>Ellin6529</t>
  </si>
  <si>
    <t>Endomicrobia</t>
  </si>
  <si>
    <t>Epsilonproteobacteria</t>
  </si>
  <si>
    <t>Erysipelotrichi</t>
  </si>
  <si>
    <t>Fibrobacteria</t>
  </si>
  <si>
    <t>Flavobacteriia</t>
  </si>
  <si>
    <t>Fusobacteriia</t>
  </si>
  <si>
    <t>Gammaproteobacteria</t>
  </si>
  <si>
    <t>Gemm-1</t>
  </si>
  <si>
    <t>Gemm-2</t>
  </si>
  <si>
    <t>Gemm-3</t>
  </si>
  <si>
    <t>Gemm-5</t>
  </si>
  <si>
    <t>Gitt-GS-136</t>
  </si>
  <si>
    <t>GKS2-174</t>
  </si>
  <si>
    <t>HDBW-WB69</t>
  </si>
  <si>
    <t>Holophagae</t>
  </si>
  <si>
    <t>Ignavibacteria</t>
  </si>
  <si>
    <t>JG37-AG-4</t>
  </si>
  <si>
    <t>koll11</t>
  </si>
  <si>
    <t>Ktedonobacteria</t>
  </si>
  <si>
    <t>MB-A2-108</t>
  </si>
  <si>
    <t>Mb-NB09</t>
  </si>
  <si>
    <t>ML635J-21</t>
  </si>
  <si>
    <t>Mollicutes</t>
  </si>
  <si>
    <t>Nitrospira</t>
  </si>
  <si>
    <t>Nostocophycideae</t>
  </si>
  <si>
    <t>ODP123</t>
  </si>
  <si>
    <t>OM190</t>
  </si>
  <si>
    <t>OP11-3</t>
  </si>
  <si>
    <t>OP11-4</t>
  </si>
  <si>
    <t>OPB41</t>
  </si>
  <si>
    <t>OPB50</t>
  </si>
  <si>
    <t>OPB56</t>
  </si>
  <si>
    <t>Opitutae</t>
  </si>
  <si>
    <t>Oscillatoriophycideae</t>
  </si>
  <si>
    <t>P2-11E</t>
  </si>
  <si>
    <t>PAUC37f</t>
  </si>
  <si>
    <t>PBS-25</t>
  </si>
  <si>
    <t>Phycisphaerae</t>
  </si>
  <si>
    <t>Pla4</t>
  </si>
  <si>
    <t>Planctomycetia</t>
  </si>
  <si>
    <t>PRR-11</t>
  </si>
  <si>
    <t>PRR-12</t>
  </si>
  <si>
    <t>S035</t>
  </si>
  <si>
    <t>SBRH58</t>
  </si>
  <si>
    <t>SBZC_2415</t>
  </si>
  <si>
    <t>SC3</t>
  </si>
  <si>
    <t>SC72</t>
  </si>
  <si>
    <t>SHA-109</t>
  </si>
  <si>
    <t>SHA-26</t>
  </si>
  <si>
    <t>SJA-176</t>
  </si>
  <si>
    <t>SJA-28</t>
  </si>
  <si>
    <t>SJA-4</t>
  </si>
  <si>
    <t>SM2F11</t>
  </si>
  <si>
    <t>Solibacteres</t>
  </si>
  <si>
    <t>Sphingobacteriia</t>
  </si>
  <si>
    <t>Synergistia</t>
  </si>
  <si>
    <t>TA18</t>
  </si>
  <si>
    <t>TG3</t>
  </si>
  <si>
    <t>Thermoleophilia</t>
  </si>
  <si>
    <t>Thermomicrobia</t>
  </si>
  <si>
    <t>TK10</t>
  </si>
  <si>
    <t>TK17</t>
  </si>
  <si>
    <t>TM7-1</t>
  </si>
  <si>
    <t>TM1</t>
  </si>
  <si>
    <t>TM7-3</t>
  </si>
  <si>
    <t>TSBW08</t>
  </si>
  <si>
    <t>vadinHA49</t>
  </si>
  <si>
    <t>Verrucomicrobiae</t>
  </si>
  <si>
    <t>WCHB1-64</t>
  </si>
  <si>
    <t>ZB2</t>
  </si>
  <si>
    <t>Zetaproteobacteria</t>
  </si>
  <si>
    <t>Unclassified</t>
  </si>
  <si>
    <t xml:space="preserve"> o__YS2</t>
  </si>
  <si>
    <t xml:space="preserve"> o__YJF2-48</t>
  </si>
  <si>
    <t xml:space="preserve"> o__Xanthomonadales</t>
  </si>
  <si>
    <t xml:space="preserve"> o__WD2101</t>
  </si>
  <si>
    <t xml:space="preserve"> o__WCHB1-50</t>
  </si>
  <si>
    <t xml:space="preserve"> o__WCHB1-15</t>
  </si>
  <si>
    <t xml:space="preserve"> o__wb1_H11</t>
  </si>
  <si>
    <t xml:space="preserve"> o__Victivallales</t>
  </si>
  <si>
    <t xml:space="preserve"> o__Verrucomicrobiales</t>
  </si>
  <si>
    <t xml:space="preserve"> o__VC38</t>
  </si>
  <si>
    <t xml:space="preserve"> o__Tremblayales</t>
  </si>
  <si>
    <t xml:space="preserve"> o__Thiotrichales</t>
  </si>
  <si>
    <t xml:space="preserve"> o__Thermogemmatisporales</t>
  </si>
  <si>
    <t xml:space="preserve"> o__Thermoanaerobacterales</t>
  </si>
  <si>
    <t xml:space="preserve"> o__TG3-1</t>
  </si>
  <si>
    <t xml:space="preserve"> o__T8-B82</t>
  </si>
  <si>
    <t xml:space="preserve"> o__Syntrophobacterales</t>
  </si>
  <si>
    <t xml:space="preserve"> o__Synergistales</t>
  </si>
  <si>
    <t xml:space="preserve"> o__Streptophyta</t>
  </si>
  <si>
    <t xml:space="preserve"> o__Stramenopiles</t>
  </si>
  <si>
    <t xml:space="preserve"> o__Spirochaetales</t>
  </si>
  <si>
    <t xml:space="preserve"> o__Spirobacillales</t>
  </si>
  <si>
    <t xml:space="preserve"> o__Sphingomonadales</t>
  </si>
  <si>
    <t xml:space="preserve"> o__Sphingobacteriales</t>
  </si>
  <si>
    <t xml:space="preserve"> o__Sphaerobacterales</t>
  </si>
  <si>
    <t xml:space="preserve"> o__Solirubrobacterales</t>
  </si>
  <si>
    <t xml:space="preserve"> o__Solibacterales</t>
  </si>
  <si>
    <t xml:space="preserve"> o__SM1D11</t>
  </si>
  <si>
    <t xml:space="preserve"> o__SJA-36</t>
  </si>
  <si>
    <t xml:space="preserve"> o__SJA-22</t>
  </si>
  <si>
    <t xml:space="preserve"> o__SJA-15</t>
  </si>
  <si>
    <t xml:space="preserve"> o__Sediment-1</t>
  </si>
  <si>
    <t xml:space="preserve"> o__SBR1031</t>
  </si>
  <si>
    <t xml:space="preserve"> o__S-BQ2-57</t>
  </si>
  <si>
    <t xml:space="preserve"> o__Rickettsiales</t>
  </si>
  <si>
    <t xml:space="preserve"> o__Rhodospirillales</t>
  </si>
  <si>
    <t xml:space="preserve"> o__Rhodocyclales</t>
  </si>
  <si>
    <t xml:space="preserve"> o__Rhodobacterales</t>
  </si>
  <si>
    <t xml:space="preserve"> o__Rhizobiales</t>
  </si>
  <si>
    <t xml:space="preserve"> o__RB41</t>
  </si>
  <si>
    <t xml:space="preserve"> o__RB046</t>
  </si>
  <si>
    <t xml:space="preserve"> o__Pseudomonadales</t>
  </si>
  <si>
    <t xml:space="preserve"> o__Procabacteriales</t>
  </si>
  <si>
    <t xml:space="preserve"> o__pLW-97</t>
  </si>
  <si>
    <t xml:space="preserve"> o__Planctomycetales</t>
  </si>
  <si>
    <t xml:space="preserve"> o__Pla1</t>
  </si>
  <si>
    <t xml:space="preserve"> o__PK329</t>
  </si>
  <si>
    <t xml:space="preserve"> o__PK29</t>
  </si>
  <si>
    <t xml:space="preserve"> o__Pirellulales</t>
  </si>
  <si>
    <t xml:space="preserve"> o__Phycisphaerales</t>
  </si>
  <si>
    <t xml:space="preserve"> o__p04_C01</t>
  </si>
  <si>
    <t xml:space="preserve"> o__Opitutales</t>
  </si>
  <si>
    <t xml:space="preserve"> o__ODP1230B3009</t>
  </si>
  <si>
    <t xml:space="preserve"> o__Oceanospirillales</t>
  </si>
  <si>
    <t xml:space="preserve"> o__Nostocales</t>
  </si>
  <si>
    <t xml:space="preserve"> o__Nitrospirales</t>
  </si>
  <si>
    <t xml:space="preserve"> o__Nitrosomonadales</t>
  </si>
  <si>
    <t xml:space="preserve"> o__Neisseriales</t>
  </si>
  <si>
    <t xml:space="preserve"> o__Natranaerobiales</t>
  </si>
  <si>
    <t xml:space="preserve"> o__N1423WL</t>
  </si>
  <si>
    <t xml:space="preserve"> o__Myxococcales</t>
  </si>
  <si>
    <t xml:space="preserve"> o__MVS-107</t>
  </si>
  <si>
    <t xml:space="preserve"> o__MVP-88</t>
  </si>
  <si>
    <t xml:space="preserve"> o__mle1-48</t>
  </si>
  <si>
    <t xml:space="preserve"> o__MLE1-12</t>
  </si>
  <si>
    <t xml:space="preserve"> o__MIZ46</t>
  </si>
  <si>
    <t xml:space="preserve"> o__Methylococcales</t>
  </si>
  <si>
    <t xml:space="preserve"> o__Methylacidiphilales</t>
  </si>
  <si>
    <t xml:space="preserve"> o__MBNT15</t>
  </si>
  <si>
    <t xml:space="preserve"> o__Mariprofundales</t>
  </si>
  <si>
    <t xml:space="preserve"> o__M2PT2-76</t>
  </si>
  <si>
    <t xml:space="preserve"> o__Legionellales</t>
  </si>
  <si>
    <t xml:space="preserve"> o__Lactobacillales</t>
  </si>
  <si>
    <t xml:space="preserve"> o__Ktedonobacterales</t>
  </si>
  <si>
    <t xml:space="preserve"> o__KD8-87</t>
  </si>
  <si>
    <t xml:space="preserve"> o__JH-WHS99</t>
  </si>
  <si>
    <t xml:space="preserve"> o__JG30-KF-CM45</t>
  </si>
  <si>
    <t xml:space="preserve"> o__JG30-KF-AS9</t>
  </si>
  <si>
    <t xml:space="preserve"> o__iii1-15</t>
  </si>
  <si>
    <t xml:space="preserve"> o__IIb</t>
  </si>
  <si>
    <t xml:space="preserve"> o__Ignavibacteriales</t>
  </si>
  <si>
    <t xml:space="preserve"> o__I025</t>
  </si>
  <si>
    <t xml:space="preserve"> o__Hydrogenophilales</t>
  </si>
  <si>
    <t xml:space="preserve"> o__HTCC2188</t>
  </si>
  <si>
    <t xml:space="preserve"> o__Holophagales</t>
  </si>
  <si>
    <t xml:space="preserve"> o__Herpetosiphonales</t>
  </si>
  <si>
    <t xml:space="preserve"> o__H39</t>
  </si>
  <si>
    <t xml:space="preserve"> o__GW-28</t>
  </si>
  <si>
    <t xml:space="preserve"> o__Gemmatimonadales</t>
  </si>
  <si>
    <t xml:space="preserve"> o__Gemmatales</t>
  </si>
  <si>
    <t xml:space="preserve"> o__Gaiellales</t>
  </si>
  <si>
    <t xml:space="preserve"> o__GAB-B06</t>
  </si>
  <si>
    <t xml:space="preserve"> o__FW68</t>
  </si>
  <si>
    <t xml:space="preserve"> o__Fusobacteriales</t>
  </si>
  <si>
    <t xml:space="preserve"> o__Flavobacteriales</t>
  </si>
  <si>
    <t xml:space="preserve"> o__FAC88</t>
  </si>
  <si>
    <t xml:space="preserve"> o__FAC87</t>
  </si>
  <si>
    <t xml:space="preserve"> o__EW055</t>
  </si>
  <si>
    <t xml:space="preserve"> o__Euglenozoa</t>
  </si>
  <si>
    <t xml:space="preserve"> o__Erysipelotrichales</t>
  </si>
  <si>
    <t xml:space="preserve"> o__envOPS12</t>
  </si>
  <si>
    <t xml:space="preserve"> o__Enterobacteriales</t>
  </si>
  <si>
    <t xml:space="preserve"> o__Elusimicrobiales</t>
  </si>
  <si>
    <t xml:space="preserve"> o__Ellin7246</t>
  </si>
  <si>
    <t xml:space="preserve"> o__Ellin6537</t>
  </si>
  <si>
    <t xml:space="preserve"> o__Ellin6513</t>
  </si>
  <si>
    <t xml:space="preserve"> o__Ellin5290</t>
  </si>
  <si>
    <t xml:space="preserve"> o__Elev-1554</t>
  </si>
  <si>
    <t xml:space="preserve"> o__DS-100</t>
  </si>
  <si>
    <t xml:space="preserve"> o__DH61</t>
  </si>
  <si>
    <t xml:space="preserve"> o__Desulfuromonadales</t>
  </si>
  <si>
    <t xml:space="preserve"> o__Desulfovibrionales</t>
  </si>
  <si>
    <t xml:space="preserve"> o__Desulfobacterales</t>
  </si>
  <si>
    <t xml:space="preserve"> o__Dehalococcoidales</t>
  </si>
  <si>
    <t xml:space="preserve"> o__d153</t>
  </si>
  <si>
    <t xml:space="preserve"> o__Cytophagales</t>
  </si>
  <si>
    <t xml:space="preserve"> o__CV90</t>
  </si>
  <si>
    <t xml:space="preserve"> o__CPla-3</t>
  </si>
  <si>
    <t xml:space="preserve"> o__Coriobacteriales</t>
  </si>
  <si>
    <t xml:space="preserve"> o__Clostridiales</t>
  </si>
  <si>
    <t xml:space="preserve"> o__CL500-15</t>
  </si>
  <si>
    <t xml:space="preserve"> o__Chthonomonadales</t>
  </si>
  <si>
    <t xml:space="preserve"> o__Chroococcales</t>
  </si>
  <si>
    <t xml:space="preserve"> o__Chromatiales</t>
  </si>
  <si>
    <t xml:space="preserve"> o__Chlorophyta</t>
  </si>
  <si>
    <t xml:space="preserve"> o__Chloroflexales</t>
  </si>
  <si>
    <t xml:space="preserve"> o__Chlorobiales</t>
  </si>
  <si>
    <t xml:space="preserve"> o__Chlamydiales</t>
  </si>
  <si>
    <t xml:space="preserve"> o__Caulobacterales</t>
  </si>
  <si>
    <t xml:space="preserve"> o__Campylobacterales</t>
  </si>
  <si>
    <t xml:space="preserve"> o__Caldilineales</t>
  </si>
  <si>
    <t xml:space="preserve"> o__C20</t>
  </si>
  <si>
    <t xml:space="preserve"> o__Burkholderiales</t>
  </si>
  <si>
    <t xml:space="preserve"> o__Blgi18</t>
  </si>
  <si>
    <t xml:space="preserve"> o__Bdellovibrionales</t>
  </si>
  <si>
    <t xml:space="preserve"> o__Bacteroidales</t>
  </si>
  <si>
    <t xml:space="preserve"> o__Bacillales</t>
  </si>
  <si>
    <t xml:space="preserve"> o__B97</t>
  </si>
  <si>
    <t xml:space="preserve"> o__B12-WMSP1</t>
  </si>
  <si>
    <t xml:space="preserve"> o__B07_WMSP1</t>
  </si>
  <si>
    <t xml:space="preserve"> o__Armatimonadales</t>
  </si>
  <si>
    <t xml:space="preserve"> o__Aquificales</t>
  </si>
  <si>
    <t xml:space="preserve"> o__Anaeroplasmatales</t>
  </si>
  <si>
    <t xml:space="preserve"> o__Anaerolineales</t>
  </si>
  <si>
    <t xml:space="preserve"> o__Alteromonadales</t>
  </si>
  <si>
    <t xml:space="preserve"> o__AKYG885</t>
  </si>
  <si>
    <t xml:space="preserve"> o__AKIW781</t>
  </si>
  <si>
    <t xml:space="preserve"> o__AKAU3564</t>
  </si>
  <si>
    <t xml:space="preserve"> o__Aeromonadales</t>
  </si>
  <si>
    <t xml:space="preserve"> o__Actinomycetales</t>
  </si>
  <si>
    <t xml:space="preserve"> o__Acidobacteriales</t>
  </si>
  <si>
    <t xml:space="preserve"> o__Acidimicrobiales</t>
  </si>
  <si>
    <t xml:space="preserve"> o__Acholeplasmatales</t>
  </si>
  <si>
    <t xml:space="preserve"> o__A89</t>
  </si>
  <si>
    <t xml:space="preserve"> o__A31</t>
  </si>
  <si>
    <t xml:space="preserve"> o__A21b</t>
  </si>
  <si>
    <t xml:space="preserve"> o__32-20</t>
  </si>
  <si>
    <t xml:space="preserve"> o__258ds10</t>
  </si>
  <si>
    <t xml:space="preserve"> o__11-24</t>
  </si>
  <si>
    <t xml:space="preserve"> o__0319-7L14</t>
  </si>
  <si>
    <t xml:space="preserve"> o__[Saprospirales]</t>
  </si>
  <si>
    <t xml:space="preserve"> o__[Roseiflexales]</t>
  </si>
  <si>
    <t xml:space="preserve"> o__[Pedosphaerales]</t>
  </si>
  <si>
    <t xml:space="preserve"> o__[Leptospirales]</t>
  </si>
  <si>
    <t xml:space="preserve"> o__[Fimbriimonadales]</t>
  </si>
  <si>
    <t xml:space="preserve"> o__[Entotheonellales]</t>
  </si>
  <si>
    <t xml:space="preserve"> o__[Chthoniobacterales]</t>
  </si>
  <si>
    <t xml:space="preserve"> o__[Chloracidobacterales]</t>
  </si>
  <si>
    <t xml:space="preserve"> o__[Cerasicoccales]</t>
  </si>
  <si>
    <t xml:space="preserve"> o__[Brevinematales]</t>
  </si>
  <si>
    <t xml:space="preserve"> o__[Borreliales]</t>
  </si>
  <si>
    <t>Order</t>
  </si>
  <si>
    <t xml:space="preserve"> f__zEL20</t>
  </si>
  <si>
    <t xml:space="preserve"> f__Xenococcaceae</t>
  </si>
  <si>
    <t xml:space="preserve"> f__Xanthomonadaceae</t>
  </si>
  <si>
    <t xml:space="preserve"> f__Xanthobacteraceae</t>
  </si>
  <si>
    <t xml:space="preserve"> f__Victivallaceae</t>
  </si>
  <si>
    <t xml:space="preserve"> f__Verrucomicrobiaceae</t>
  </si>
  <si>
    <t xml:space="preserve"> f__Veillonellaceae</t>
  </si>
  <si>
    <t xml:space="preserve"> f__TSCOR003-O20</t>
  </si>
  <si>
    <t xml:space="preserve"> f__Trebouxiophyceae</t>
  </si>
  <si>
    <t xml:space="preserve"> f__Thiotrichaceae</t>
  </si>
  <si>
    <t xml:space="preserve"> f__Thermomonosporaceae</t>
  </si>
  <si>
    <t xml:space="preserve"> f__Thermogemmatisporaceae</t>
  </si>
  <si>
    <t xml:space="preserve"> f__Thermoanaerobacteraceae</t>
  </si>
  <si>
    <t xml:space="preserve"> f__Thermoactinomycetaceae</t>
  </si>
  <si>
    <t xml:space="preserve"> f__Syntrophorhabdaceae</t>
  </si>
  <si>
    <t xml:space="preserve"> f__Syntrophomonadaceae</t>
  </si>
  <si>
    <t xml:space="preserve"> f__Syntrophobacteraceae</t>
  </si>
  <si>
    <t xml:space="preserve"> f__Syntrophaceae</t>
  </si>
  <si>
    <t xml:space="preserve"> f__Synergistaceae</t>
  </si>
  <si>
    <t xml:space="preserve"> f__Symbiobacteriaceae</t>
  </si>
  <si>
    <t xml:space="preserve"> f__SUP05</t>
  </si>
  <si>
    <t xml:space="preserve"> f__Succinivibrionaceae</t>
  </si>
  <si>
    <t xml:space="preserve"> f__Streptosporangiaceae</t>
  </si>
  <si>
    <t xml:space="preserve"> f__Streptomycetaceae</t>
  </si>
  <si>
    <t xml:space="preserve"> f__Streptococcaceae</t>
  </si>
  <si>
    <t xml:space="preserve"> f__Sporolactobacillaceae</t>
  </si>
  <si>
    <t xml:space="preserve"> f__Spirochaetaceae</t>
  </si>
  <si>
    <t xml:space="preserve"> f__Sphingomonadaceae</t>
  </si>
  <si>
    <t xml:space="preserve"> f__Sphingobacteriaceae</t>
  </si>
  <si>
    <t xml:space="preserve"> f__Solirubrobacteraceae</t>
  </si>
  <si>
    <t xml:space="preserve"> f__Solibacteraceae</t>
  </si>
  <si>
    <t xml:space="preserve"> f__Sinobacteraceae</t>
  </si>
  <si>
    <t xml:space="preserve"> f__Simkaniaceae</t>
  </si>
  <si>
    <t xml:space="preserve"> f__SHA-31</t>
  </si>
  <si>
    <t xml:space="preserve"> f__Saprospiraceae</t>
  </si>
  <si>
    <t xml:space="preserve"> f__S47</t>
  </si>
  <si>
    <t xml:space="preserve"> f__S24-7</t>
  </si>
  <si>
    <t xml:space="preserve"> f__Ruminococcaceae</t>
  </si>
  <si>
    <t xml:space="preserve"> f__Rhodospirillaceae</t>
  </si>
  <si>
    <t xml:space="preserve"> f__Rhodocyclaceae</t>
  </si>
  <si>
    <t xml:space="preserve"> f__Rhodobacteraceae</t>
  </si>
  <si>
    <t xml:space="preserve"> f__Rhizobiaceae</t>
  </si>
  <si>
    <t xml:space="preserve"> f__RB40</t>
  </si>
  <si>
    <t xml:space="preserve"> f__R4-41B</t>
  </si>
  <si>
    <t xml:space="preserve"> f__Pseudonocardiaceae</t>
  </si>
  <si>
    <t xml:space="preserve"> f__Pseudomonadaceae</t>
  </si>
  <si>
    <t xml:space="preserve"> f__PRR-10</t>
  </si>
  <si>
    <t xml:space="preserve"> f__Propionibacteriaceae</t>
  </si>
  <si>
    <t xml:space="preserve"> f__Promicromonosporaceae</t>
  </si>
  <si>
    <t xml:space="preserve"> f__Procabacteriaceae</t>
  </si>
  <si>
    <t xml:space="preserve"> f__Prevotellaceae</t>
  </si>
  <si>
    <t xml:space="preserve"> f__Porphyromonadaceae</t>
  </si>
  <si>
    <t xml:space="preserve"> f__Polyangiaceae</t>
  </si>
  <si>
    <t xml:space="preserve"> f__Planococcaceae</t>
  </si>
  <si>
    <t xml:space="preserve"> f__Planctomycetaceae</t>
  </si>
  <si>
    <t xml:space="preserve"> f__PK34</t>
  </si>
  <si>
    <t xml:space="preserve"> f__Pirellulaceae</t>
  </si>
  <si>
    <t xml:space="preserve"> f__Phyllobacteriaceae</t>
  </si>
  <si>
    <t xml:space="preserve"> f__Phycisphaeraceae</t>
  </si>
  <si>
    <t xml:space="preserve"> f__Peptostreptococcaceae</t>
  </si>
  <si>
    <t xml:space="preserve"> f__Peptococcaceae</t>
  </si>
  <si>
    <t xml:space="preserve"> f__Pelobacteraceae</t>
  </si>
  <si>
    <t xml:space="preserve"> f__Patulibacteraceae</t>
  </si>
  <si>
    <t xml:space="preserve"> f__Pasteuriaceae</t>
  </si>
  <si>
    <t xml:space="preserve"> f__Parachlamydiaceae</t>
  </si>
  <si>
    <t xml:space="preserve"> f__Paenibacillaceae</t>
  </si>
  <si>
    <t xml:space="preserve"> f__Oxalobacteraceae</t>
  </si>
  <si>
    <t xml:space="preserve"> f__Oscillochloridaceae</t>
  </si>
  <si>
    <t xml:space="preserve"> f__Opitutaceae</t>
  </si>
  <si>
    <t xml:space="preserve"> f__OPB35</t>
  </si>
  <si>
    <t xml:space="preserve"> f__OPB3</t>
  </si>
  <si>
    <t xml:space="preserve"> f__OM60</t>
  </si>
  <si>
    <t xml:space="preserve"> f__OM27</t>
  </si>
  <si>
    <t xml:space="preserve"> f__oc28</t>
  </si>
  <si>
    <t xml:space="preserve"> f__Nostocaceae</t>
  </si>
  <si>
    <t xml:space="preserve"> f__Nocardiopsaceae</t>
  </si>
  <si>
    <t xml:space="preserve"> f__Nocardioidaceae</t>
  </si>
  <si>
    <t xml:space="preserve"> f__Nocardiaceae</t>
  </si>
  <si>
    <t xml:space="preserve"> f__Nitrospiraceae</t>
  </si>
  <si>
    <t xml:space="preserve"> f__Nitrosomonadaceae</t>
  </si>
  <si>
    <t xml:space="preserve"> f__Neisseriaceae</t>
  </si>
  <si>
    <t xml:space="preserve"> f__Nannocystaceae</t>
  </si>
  <si>
    <t xml:space="preserve"> f__Nakamurellaceae</t>
  </si>
  <si>
    <t xml:space="preserve"> f__Myxococcaceae</t>
  </si>
  <si>
    <t xml:space="preserve"> f__Mycobacteriaceae</t>
  </si>
  <si>
    <t xml:space="preserve"> f__MVS-65</t>
  </si>
  <si>
    <t xml:space="preserve"> f__Moraxellaceae</t>
  </si>
  <si>
    <t xml:space="preserve"> f__mitochondria</t>
  </si>
  <si>
    <t xml:space="preserve"> f__Microthrixaceae</t>
  </si>
  <si>
    <t xml:space="preserve"> f__Micromonosporaceae</t>
  </si>
  <si>
    <t xml:space="preserve"> f__Micrococcaceae</t>
  </si>
  <si>
    <t xml:space="preserve"> f__Microbacteriaceae</t>
  </si>
  <si>
    <t xml:space="preserve"> f__Methylocystaceae</t>
  </si>
  <si>
    <t xml:space="preserve"> f__Methylococcaceae</t>
  </si>
  <si>
    <t xml:space="preserve"> f__Methylobacteriaceae</t>
  </si>
  <si>
    <t xml:space="preserve"> f__Mariprofundaceae</t>
  </si>
  <si>
    <t xml:space="preserve"> f__Listeriaceae</t>
  </si>
  <si>
    <t xml:space="preserve"> f__Leuconostocaceae</t>
  </si>
  <si>
    <t xml:space="preserve"> f__Leptospiraceae</t>
  </si>
  <si>
    <t xml:space="preserve"> f__Legionellaceae</t>
  </si>
  <si>
    <t xml:space="preserve"> f__LD19</t>
  </si>
  <si>
    <t xml:space="preserve"> f__Lactobacillaceae</t>
  </si>
  <si>
    <t xml:space="preserve"> f__Lachnospiraceae</t>
  </si>
  <si>
    <t xml:space="preserve"> f__Ktedonobacteraceae</t>
  </si>
  <si>
    <t xml:space="preserve"> f__Koribacteraceae</t>
  </si>
  <si>
    <t xml:space="preserve"> f__Kineosporiaceae</t>
  </si>
  <si>
    <t xml:space="preserve"> f__JdFBGBact</t>
  </si>
  <si>
    <t xml:space="preserve"> f__Isosphaeraceae</t>
  </si>
  <si>
    <t xml:space="preserve"> f__Intrasporangiaceae</t>
  </si>
  <si>
    <t xml:space="preserve"> f__Iamiaceae</t>
  </si>
  <si>
    <t xml:space="preserve"> f__Hyphomonadaceae</t>
  </si>
  <si>
    <t xml:space="preserve"> f__Hyphomicrobiaceae</t>
  </si>
  <si>
    <t xml:space="preserve"> f__Hydrogenophilaceae</t>
  </si>
  <si>
    <t xml:space="preserve"> f__HTCC2089</t>
  </si>
  <si>
    <t xml:space="preserve"> f__Holophagaceae</t>
  </si>
  <si>
    <t xml:space="preserve"> f__Heliobacteriaceae</t>
  </si>
  <si>
    <t xml:space="preserve"> f__Helicobacteraceae</t>
  </si>
  <si>
    <t xml:space="preserve"> f__Halomonadaceae</t>
  </si>
  <si>
    <t xml:space="preserve"> f__Geodermatophilaceae</t>
  </si>
  <si>
    <t xml:space="preserve"> f__Gemmatimonadaceae</t>
  </si>
  <si>
    <t xml:space="preserve"> f__Gemmataceae</t>
  </si>
  <si>
    <t xml:space="preserve"> f__Gaiellaceae</t>
  </si>
  <si>
    <t xml:space="preserve"> f__FW</t>
  </si>
  <si>
    <t xml:space="preserve"> f__Frankiaceae</t>
  </si>
  <si>
    <t xml:space="preserve"> f__Flavobacteriaceae</t>
  </si>
  <si>
    <t xml:space="preserve"> f__Flammeovirgaceae</t>
  </si>
  <si>
    <t xml:space="preserve"> f__FFCH7168</t>
  </si>
  <si>
    <t xml:space="preserve"> f__FFCH4570</t>
  </si>
  <si>
    <t xml:space="preserve"> f__Erythrobacteraceae</t>
  </si>
  <si>
    <t xml:space="preserve"> f__Erysipelotrichaceae</t>
  </si>
  <si>
    <t xml:space="preserve"> f__Enterobacteriaceae</t>
  </si>
  <si>
    <t xml:space="preserve"> f__Ellin6075</t>
  </si>
  <si>
    <t xml:space="preserve"> f__Ellin5301</t>
  </si>
  <si>
    <t xml:space="preserve"> f__Ellin517</t>
  </si>
  <si>
    <t xml:space="preserve"> f__Ectothiorhodospiraceae</t>
  </si>
  <si>
    <t xml:space="preserve"> f__EB1017</t>
  </si>
  <si>
    <t xml:space="preserve"> f__Dolo_23</t>
  </si>
  <si>
    <t xml:space="preserve"> f__Desulfuromonadaceae</t>
  </si>
  <si>
    <t xml:space="preserve"> f__Desulfurobacteriaceae</t>
  </si>
  <si>
    <t xml:space="preserve"> f__Desulfovibrionaceae</t>
  </si>
  <si>
    <t xml:space="preserve"> f__Desulfomicrobiaceae</t>
  </si>
  <si>
    <t xml:space="preserve"> f__Desulfobulbaceae</t>
  </si>
  <si>
    <t xml:space="preserve"> f__Desulfobacteraceae</t>
  </si>
  <si>
    <t xml:space="preserve"> f__Dehalococcoidaceae</t>
  </si>
  <si>
    <t xml:space="preserve"> f__Cytophagaceae</t>
  </si>
  <si>
    <t xml:space="preserve"> f__Cystobacteraceae</t>
  </si>
  <si>
    <t xml:space="preserve"> f__Cryptosporangiaceae</t>
  </si>
  <si>
    <t xml:space="preserve"> f__Criblamydiaceae</t>
  </si>
  <si>
    <t xml:space="preserve"> f__Coxiellaceae</t>
  </si>
  <si>
    <t xml:space="preserve"> f__Coriobacteriaceae</t>
  </si>
  <si>
    <t xml:space="preserve"> f__Conexibacteraceae</t>
  </si>
  <si>
    <t xml:space="preserve"> f__Comamonadaceae</t>
  </si>
  <si>
    <t xml:space="preserve"> f__Clostridiaceae</t>
  </si>
  <si>
    <t xml:space="preserve"> f__Chthonomonadaceae</t>
  </si>
  <si>
    <t xml:space="preserve"> f__Chromatiaceae</t>
  </si>
  <si>
    <t xml:space="preserve"> f__Christensenellaceae</t>
  </si>
  <si>
    <t xml:space="preserve"> f__Chloroflexaceae</t>
  </si>
  <si>
    <t xml:space="preserve"> f__Chlorobiaceae</t>
  </si>
  <si>
    <t xml:space="preserve"> f__Chlamydomonadaceae</t>
  </si>
  <si>
    <t xml:space="preserve"> f__Chlamydiaceae</t>
  </si>
  <si>
    <t xml:space="preserve"> f__Chitinophagaceae</t>
  </si>
  <si>
    <t xml:space="preserve"> f__Cellulomonadaceae</t>
  </si>
  <si>
    <t xml:space="preserve"> f__Caulobacteraceae</t>
  </si>
  <si>
    <t xml:space="preserve"> f__Carboxydocellaceae</t>
  </si>
  <si>
    <t xml:space="preserve"> f__Campylobacteraceae</t>
  </si>
  <si>
    <t xml:space="preserve"> f__Caldilineaceae</t>
  </si>
  <si>
    <t xml:space="preserve"> f__C111</t>
  </si>
  <si>
    <t xml:space="preserve"> f__Burkholderiaceae</t>
  </si>
  <si>
    <t xml:space="preserve"> f__Brucellaceae</t>
  </si>
  <si>
    <t xml:space="preserve"> f__Bradyrhizobiaceae</t>
  </si>
  <si>
    <t xml:space="preserve"> f__Beutenbergiaceae</t>
  </si>
  <si>
    <t xml:space="preserve"> f__Beijerinckiaceae</t>
  </si>
  <si>
    <t xml:space="preserve"> f__Bdellovibrionaceae</t>
  </si>
  <si>
    <t xml:space="preserve"> f__Bacteroidaceae</t>
  </si>
  <si>
    <t xml:space="preserve"> f__Bacteriovoracaceae</t>
  </si>
  <si>
    <t xml:space="preserve"> f__Bacillaceae</t>
  </si>
  <si>
    <t xml:space="preserve"> f__B122</t>
  </si>
  <si>
    <t xml:space="preserve"> f__auto67_4W</t>
  </si>
  <si>
    <t xml:space="preserve"> f__Aurantimonadaceae</t>
  </si>
  <si>
    <t xml:space="preserve"> f__Armatimonadaceae</t>
  </si>
  <si>
    <t xml:space="preserve"> f__Anaeroplasmataceae</t>
  </si>
  <si>
    <t xml:space="preserve"> f__Anaerolinaceae</t>
  </si>
  <si>
    <t xml:space="preserve"> f__Alteromonadaceae</t>
  </si>
  <si>
    <t xml:space="preserve"> f__Alicyclobacillaceae</t>
  </si>
  <si>
    <t xml:space="preserve"> f__Alcaligenaceae</t>
  </si>
  <si>
    <t xml:space="preserve"> f__AKIW874</t>
  </si>
  <si>
    <t xml:space="preserve"> f__AKIW659</t>
  </si>
  <si>
    <t xml:space="preserve"> f__AK1AB1_02E</t>
  </si>
  <si>
    <t xml:space="preserve"> f__Aeromonadaceae</t>
  </si>
  <si>
    <t xml:space="preserve"> f__Actinosynnemataceae</t>
  </si>
  <si>
    <t xml:space="preserve"> f__Actinospicaceae</t>
  </si>
  <si>
    <t xml:space="preserve"> f__Acidobacteriaceae</t>
  </si>
  <si>
    <t xml:space="preserve"> f__Acholeplasmataceae</t>
  </si>
  <si>
    <t xml:space="preserve"> f__Acetobacteraceae</t>
  </si>
  <si>
    <t xml:space="preserve"> f__A4b</t>
  </si>
  <si>
    <t xml:space="preserve"> f__A1-B1</t>
  </si>
  <si>
    <t xml:space="preserve"> f__5B-12</t>
  </si>
  <si>
    <t xml:space="preserve"> f__0319-6G20</t>
  </si>
  <si>
    <t xml:space="preserve"> f__0319-6A21</t>
  </si>
  <si>
    <t xml:space="preserve"> f__[Weeksellaceae]</t>
  </si>
  <si>
    <t xml:space="preserve"> f__[Thermodesulfovibrionaceae]</t>
  </si>
  <si>
    <t xml:space="preserve"> f__[Thermicanaceae]</t>
  </si>
  <si>
    <t xml:space="preserve"> f__[Roseiflexaceae]</t>
  </si>
  <si>
    <t xml:space="preserve"> f__[Pedosphaeraceae]</t>
  </si>
  <si>
    <t xml:space="preserve"> f__[Paraprevotellaceae]</t>
  </si>
  <si>
    <t xml:space="preserve"> f__[Melioribacteraceae]</t>
  </si>
  <si>
    <t xml:space="preserve"> f__[Kouleothrixaceae]</t>
  </si>
  <si>
    <t xml:space="preserve"> f__[Fimbriimonadaceae]</t>
  </si>
  <si>
    <t xml:space="preserve"> f__[Entotheonellaceae]</t>
  </si>
  <si>
    <t xml:space="preserve"> f__[Chthoniobacteraceae]</t>
  </si>
  <si>
    <t xml:space="preserve"> f__[Chromatiaceae]</t>
  </si>
  <si>
    <t xml:space="preserve"> f__[Chloracidobacteraceae]</t>
  </si>
  <si>
    <t xml:space="preserve"> f__[Cerasicoccaceae]</t>
  </si>
  <si>
    <t xml:space="preserve"> f__[Bryobacteraceae]</t>
  </si>
  <si>
    <t xml:space="preserve"> f__[Borreliaceae]</t>
  </si>
  <si>
    <t>Family</t>
  </si>
  <si>
    <t xml:space="preserve"> g__Xanthobacter</t>
  </si>
  <si>
    <t xml:space="preserve"> g__Woodsholea</t>
  </si>
  <si>
    <t xml:space="preserve"> g__Weissella</t>
  </si>
  <si>
    <t xml:space="preserve"> g__WCHB1-84</t>
  </si>
  <si>
    <t xml:space="preserve"> g__Vogesella</t>
  </si>
  <si>
    <t xml:space="preserve"> g__Vitreoscilla</t>
  </si>
  <si>
    <t xml:space="preserve"> g__Verrucomicrobium</t>
  </si>
  <si>
    <t xml:space="preserve"> g__Umezawaea</t>
  </si>
  <si>
    <t xml:space="preserve"> g__Turneriella</t>
  </si>
  <si>
    <t xml:space="preserve"> g__Tuberibacillus</t>
  </si>
  <si>
    <t xml:space="preserve"> g__Treponema</t>
  </si>
  <si>
    <t xml:space="preserve"> g__Trachelomonas</t>
  </si>
  <si>
    <t xml:space="preserve"> g__Thiorhodococcus</t>
  </si>
  <si>
    <t xml:space="preserve"> g__Thiocystis</t>
  </si>
  <si>
    <t xml:space="preserve"> g__Thioalkalivibrio</t>
  </si>
  <si>
    <t xml:space="preserve"> g__Thermovum</t>
  </si>
  <si>
    <t xml:space="preserve"> g__Thermosinus</t>
  </si>
  <si>
    <t xml:space="preserve"> g__Thermomonas</t>
  </si>
  <si>
    <t xml:space="preserve"> g__Thermoflavimicrobium</t>
  </si>
  <si>
    <t xml:space="preserve"> g__Thermodesulforhabdus</t>
  </si>
  <si>
    <t xml:space="preserve"> g__Thermobacillus</t>
  </si>
  <si>
    <t xml:space="preserve"> g__Thermicanus</t>
  </si>
  <si>
    <t xml:space="preserve"> g__Thermanaeromonas</t>
  </si>
  <si>
    <t xml:space="preserve"> g__Thermacetogenium</t>
  </si>
  <si>
    <t xml:space="preserve"> g__Tetrasphaera</t>
  </si>
  <si>
    <t xml:space="preserve"> g__Terrimonas</t>
  </si>
  <si>
    <t xml:space="preserve"> g__Terriglobus</t>
  </si>
  <si>
    <t xml:space="preserve"> g__Telmatospirillum</t>
  </si>
  <si>
    <t xml:space="preserve"> g__Telmatobacter</t>
  </si>
  <si>
    <t xml:space="preserve"> g__Tatlockia</t>
  </si>
  <si>
    <t xml:space="preserve"> g__Syntrophus</t>
  </si>
  <si>
    <t xml:space="preserve"> g__Syntrophorhabdus</t>
  </si>
  <si>
    <t xml:space="preserve"> g__Syntrophomonas</t>
  </si>
  <si>
    <t xml:space="preserve"> g__Symbiobacterium</t>
  </si>
  <si>
    <t xml:space="preserve"> g__Sulfuricurvum</t>
  </si>
  <si>
    <t xml:space="preserve"> g__Succinispira</t>
  </si>
  <si>
    <t xml:space="preserve"> g__Streptomyces</t>
  </si>
  <si>
    <t xml:space="preserve"> g__Streptococcus</t>
  </si>
  <si>
    <t xml:space="preserve"> g__Stenotrophomonas</t>
  </si>
  <si>
    <t xml:space="preserve"> g__Stella</t>
  </si>
  <si>
    <t xml:space="preserve"> g__Starkeya</t>
  </si>
  <si>
    <t xml:space="preserve"> g__Sporosarcina</t>
  </si>
  <si>
    <t xml:space="preserve"> g__Sporomusa</t>
  </si>
  <si>
    <t xml:space="preserve"> g__Sporobacter</t>
  </si>
  <si>
    <t xml:space="preserve"> g__Spironema</t>
  </si>
  <si>
    <t xml:space="preserve"> g__Spirochaeta</t>
  </si>
  <si>
    <t xml:space="preserve"> g__Sphingosinicella</t>
  </si>
  <si>
    <t xml:space="preserve"> g__Sphingomonas</t>
  </si>
  <si>
    <t xml:space="preserve"> g__Sphingobacterium</t>
  </si>
  <si>
    <t xml:space="preserve"> g__Spermatozopsis</t>
  </si>
  <si>
    <t xml:space="preserve"> g__Solitalea</t>
  </si>
  <si>
    <t xml:space="preserve"> g__Solirubrobacter</t>
  </si>
  <si>
    <t xml:space="preserve"> g__Solimonas</t>
  </si>
  <si>
    <t xml:space="preserve"> g__Solibacillus</t>
  </si>
  <si>
    <t xml:space="preserve"> g__Smaragdicoccus</t>
  </si>
  <si>
    <t xml:space="preserve"> g__Skermania</t>
  </si>
  <si>
    <t xml:space="preserve"> g__Skermanella</t>
  </si>
  <si>
    <t xml:space="preserve"> g__Singulisphaera</t>
  </si>
  <si>
    <t xml:space="preserve"> g__Simkania</t>
  </si>
  <si>
    <t xml:space="preserve"> g__Silvimonas</t>
  </si>
  <si>
    <t xml:space="preserve"> g__Shimazuella</t>
  </si>
  <si>
    <t xml:space="preserve"> g__Selenomonas</t>
  </si>
  <si>
    <t xml:space="preserve"> g__Seinonella</t>
  </si>
  <si>
    <t xml:space="preserve"> g__Scopulibacillus</t>
  </si>
  <si>
    <t xml:space="preserve"> g__Salinarimonas</t>
  </si>
  <si>
    <t xml:space="preserve"> g__Salana</t>
  </si>
  <si>
    <t xml:space="preserve"> g__Saccharomonospora</t>
  </si>
  <si>
    <t xml:space="preserve"> g__Ruminococcus</t>
  </si>
  <si>
    <t xml:space="preserve"> g__Rugosimonospora</t>
  </si>
  <si>
    <t xml:space="preserve"> g__Rudaea</t>
  </si>
  <si>
    <t xml:space="preserve"> g__Roseomonas</t>
  </si>
  <si>
    <t xml:space="preserve"> g__Rickettsiella</t>
  </si>
  <si>
    <t xml:space="preserve"> g__Rhodovastum</t>
  </si>
  <si>
    <t xml:space="preserve"> g__Rhodopila</t>
  </si>
  <si>
    <t xml:space="preserve"> g__Rhodomicrobium</t>
  </si>
  <si>
    <t xml:space="preserve"> g__Rhodococcus</t>
  </si>
  <si>
    <t xml:space="preserve"> g__Rhodoblastus</t>
  </si>
  <si>
    <t xml:space="preserve"> g__Rhodobium</t>
  </si>
  <si>
    <t xml:space="preserve"> g__Rhodobacter</t>
  </si>
  <si>
    <t xml:space="preserve"> g__Rhizobium</t>
  </si>
  <si>
    <t xml:space="preserve"> g__Rheinheimera</t>
  </si>
  <si>
    <t xml:space="preserve"> g__Reyranella</t>
  </si>
  <si>
    <t xml:space="preserve"> g__Quadrisphaera</t>
  </si>
  <si>
    <t xml:space="preserve"> g__Pseudoxanthomonas</t>
  </si>
  <si>
    <t xml:space="preserve"> g__Pseudorhodoferax</t>
  </si>
  <si>
    <t xml:space="preserve"> g__Pseudomonas</t>
  </si>
  <si>
    <t xml:space="preserve"> g__Pseudoburkholderia</t>
  </si>
  <si>
    <t xml:space="preserve"> g__Prosthecomicrobium</t>
  </si>
  <si>
    <t xml:space="preserve"> g__Prosthecobacter</t>
  </si>
  <si>
    <t xml:space="preserve"> g__Propionispora</t>
  </si>
  <si>
    <t xml:space="preserve"> g__Propionibacterium</t>
  </si>
  <si>
    <t xml:space="preserve"> g__Prevotella</t>
  </si>
  <si>
    <t xml:space="preserve"> g__Porticoccus</t>
  </si>
  <si>
    <t xml:space="preserve"> g__Porphyrobacter</t>
  </si>
  <si>
    <t xml:space="preserve"> g__Polyangium</t>
  </si>
  <si>
    <t xml:space="preserve"> g__Plesiocystis</t>
  </si>
  <si>
    <t xml:space="preserve"> g__Pleomorphomonas</t>
  </si>
  <si>
    <t xml:space="preserve"> g__Planifilum</t>
  </si>
  <si>
    <t xml:space="preserve"> g__planctomycete</t>
  </si>
  <si>
    <t xml:space="preserve"> g__Planctomyces</t>
  </si>
  <si>
    <t xml:space="preserve"> g__Pirellula</t>
  </si>
  <si>
    <t xml:space="preserve"> g__Phytohabitans</t>
  </si>
  <si>
    <t xml:space="preserve"> g__Phycisphaera</t>
  </si>
  <si>
    <t xml:space="preserve"> g__Phaselicystis</t>
  </si>
  <si>
    <t xml:space="preserve"> g__Phaeospirillum</t>
  </si>
  <si>
    <t xml:space="preserve"> g__Persicivirga</t>
  </si>
  <si>
    <t xml:space="preserve"> g__Peredibacter</t>
  </si>
  <si>
    <t xml:space="preserve"> g__Pelomonas</t>
  </si>
  <si>
    <t xml:space="preserve"> g__Pelobacter</t>
  </si>
  <si>
    <t xml:space="preserve"> g__Pedosphaera</t>
  </si>
  <si>
    <t xml:space="preserve"> g__Pedomicrobium</t>
  </si>
  <si>
    <t xml:space="preserve"> g__Pedobacter</t>
  </si>
  <si>
    <t xml:space="preserve"> g__Pediococcus</t>
  </si>
  <si>
    <t xml:space="preserve"> g__Paucimonas</t>
  </si>
  <si>
    <t xml:space="preserve"> g__Pasteuria</t>
  </si>
  <si>
    <t xml:space="preserve"> g__Parasegitibacter</t>
  </si>
  <si>
    <t xml:space="preserve"> g__Paraeggerthella</t>
  </si>
  <si>
    <t xml:space="preserve"> g__Paracraurococcus</t>
  </si>
  <si>
    <t xml:space="preserve"> g__Parachlamydia</t>
  </si>
  <si>
    <t xml:space="preserve"> g__Parabacteroides</t>
  </si>
  <si>
    <t xml:space="preserve"> g__Papillibacter</t>
  </si>
  <si>
    <t xml:space="preserve"> g__Pantoea</t>
  </si>
  <si>
    <t xml:space="preserve"> g__Panacagrimonas</t>
  </si>
  <si>
    <t xml:space="preserve"> g__Paenibacillus</t>
  </si>
  <si>
    <t xml:space="preserve"> g__Oscillochloris</t>
  </si>
  <si>
    <t xml:space="preserve"> g__Oryzihumus</t>
  </si>
  <si>
    <t xml:space="preserve"> g__Ornithinibacillus</t>
  </si>
  <si>
    <t xml:space="preserve"> g__OR-59</t>
  </si>
  <si>
    <t xml:space="preserve"> g__Opitutus</t>
  </si>
  <si>
    <t xml:space="preserve"> g__Ochrobactrum</t>
  </si>
  <si>
    <t xml:space="preserve"> g__Oceanobacillus</t>
  </si>
  <si>
    <t xml:space="preserve"> g__Novosphingobium</t>
  </si>
  <si>
    <t xml:space="preserve"> g__Nostocoida</t>
  </si>
  <si>
    <t xml:space="preserve"> g__Nonlabens</t>
  </si>
  <si>
    <t xml:space="preserve"> g__Nocardioides</t>
  </si>
  <si>
    <t xml:space="preserve"> g__Nocardia</t>
  </si>
  <si>
    <t xml:space="preserve"> g__Nitrospira</t>
  </si>
  <si>
    <t xml:space="preserve"> g__Nitrosospira</t>
  </si>
  <si>
    <t xml:space="preserve"> g__Nitrosomonas</t>
  </si>
  <si>
    <t xml:space="preserve"> g__Nitrobacteria</t>
  </si>
  <si>
    <t xml:space="preserve"> g__Niastella</t>
  </si>
  <si>
    <t xml:space="preserve"> g__Nevskia</t>
  </si>
  <si>
    <t xml:space="preserve"> g__Neochlamydia</t>
  </si>
  <si>
    <t xml:space="preserve"> g__Nakamurella</t>
  </si>
  <si>
    <t xml:space="preserve"> g__Mycobacterium</t>
  </si>
  <si>
    <t xml:space="preserve"> g__Mucilaginibacter</t>
  </si>
  <si>
    <t xml:space="preserve"> g__Microvirgula</t>
  </si>
  <si>
    <t xml:space="preserve"> g__Microtetraspora</t>
  </si>
  <si>
    <t xml:space="preserve"> g__Micromonospora</t>
  </si>
  <si>
    <t xml:space="preserve"> g__Microlunatus</t>
  </si>
  <si>
    <t xml:space="preserve"> g__Microbulbifer</t>
  </si>
  <si>
    <t xml:space="preserve"> g__Methylovirgula</t>
  </si>
  <si>
    <t xml:space="preserve"> g__Methylosarcina</t>
  </si>
  <si>
    <t xml:space="preserve"> g__Methyloferula</t>
  </si>
  <si>
    <t xml:space="preserve"> g__Methylococcus</t>
  </si>
  <si>
    <t xml:space="preserve"> g__Methylocapsa</t>
  </si>
  <si>
    <t xml:space="preserve"> g__Methylobacterium</t>
  </si>
  <si>
    <t xml:space="preserve"> g__Massilia</t>
  </si>
  <si>
    <t xml:space="preserve"> g__Marmoricola</t>
  </si>
  <si>
    <t xml:space="preserve"> g__Marinoscillum</t>
  </si>
  <si>
    <t xml:space="preserve"> g__marine</t>
  </si>
  <si>
    <t xml:space="preserve"> g__Lysobacter</t>
  </si>
  <si>
    <t xml:space="preserve"> g__Luteimicrobium</t>
  </si>
  <si>
    <t xml:space="preserve"> g__Litorilinea</t>
  </si>
  <si>
    <t xml:space="preserve"> g__Listeria</t>
  </si>
  <si>
    <t xml:space="preserve"> g__Limnobacter</t>
  </si>
  <si>
    <t xml:space="preserve"> g__Levilinea</t>
  </si>
  <si>
    <t xml:space="preserve"> g__Leptothrix</t>
  </si>
  <si>
    <t xml:space="preserve"> g__Leptolinea</t>
  </si>
  <si>
    <t xml:space="preserve"> g__Lentzea</t>
  </si>
  <si>
    <t xml:space="preserve"> g__Leifsonia</t>
  </si>
  <si>
    <t xml:space="preserve"> g__Legionella</t>
  </si>
  <si>
    <t xml:space="preserve"> g__LCP-6</t>
  </si>
  <si>
    <t xml:space="preserve"> g__Larkinella</t>
  </si>
  <si>
    <t xml:space="preserve"> g__Lactonifactor</t>
  </si>
  <si>
    <t xml:space="preserve"> g__Lactococcus</t>
  </si>
  <si>
    <t xml:space="preserve"> g__Lactobacillus</t>
  </si>
  <si>
    <t xml:space="preserve"> g__Laceyella</t>
  </si>
  <si>
    <t xml:space="preserve"> g__Labrys</t>
  </si>
  <si>
    <t xml:space="preserve"> g__Labedella</t>
  </si>
  <si>
    <t xml:space="preserve"> g__Kyrpidia</t>
  </si>
  <si>
    <t xml:space="preserve"> g__Kutzneria</t>
  </si>
  <si>
    <t xml:space="preserve"> g__Kurthia</t>
  </si>
  <si>
    <t xml:space="preserve"> g__Ktedonobacter</t>
  </si>
  <si>
    <t xml:space="preserve"> g__Kribbella</t>
  </si>
  <si>
    <t xml:space="preserve"> g__Kineosporia</t>
  </si>
  <si>
    <t xml:space="preserve"> g__Kaistibacter</t>
  </si>
  <si>
    <t xml:space="preserve"> g__JG37-AG-70</t>
  </si>
  <si>
    <t xml:space="preserve"> g__Ilumatobacter</t>
  </si>
  <si>
    <t xml:space="preserve"> g__Iamia</t>
  </si>
  <si>
    <t xml:space="preserve"> g__Hyphomicrobium</t>
  </si>
  <si>
    <t xml:space="preserve"> g__Hydrocarboniphaga</t>
  </si>
  <si>
    <t xml:space="preserve"> g__Humicoccus</t>
  </si>
  <si>
    <t xml:space="preserve"> g__Holophaga</t>
  </si>
  <si>
    <t xml:space="preserve"> g__Hoeflea</t>
  </si>
  <si>
    <t xml:space="preserve"> g__heteroC45_4W</t>
  </si>
  <si>
    <t xml:space="preserve"> g__Hespellia</t>
  </si>
  <si>
    <t xml:space="preserve"> g__Herminiimonas</t>
  </si>
  <si>
    <t xml:space="preserve"> g__Herbiconiux</t>
  </si>
  <si>
    <t xml:space="preserve"> g__Herbaspirillum</t>
  </si>
  <si>
    <t xml:space="preserve"> g__Heliophilum</t>
  </si>
  <si>
    <t xml:space="preserve"> g__Heliobacillus</t>
  </si>
  <si>
    <t xml:space="preserve"> g__Helicobacter</t>
  </si>
  <si>
    <t xml:space="preserve"> g__HB118</t>
  </si>
  <si>
    <t xml:space="preserve"> g__Halomonas</t>
  </si>
  <si>
    <t xml:space="preserve"> g__Haloferula</t>
  </si>
  <si>
    <t xml:space="preserve"> g__Haliea</t>
  </si>
  <si>
    <t xml:space="preserve"> g__Halalkalibacillus</t>
  </si>
  <si>
    <t xml:space="preserve"> g__Haematobacter</t>
  </si>
  <si>
    <t xml:space="preserve"> g__Gynumella</t>
  </si>
  <si>
    <t xml:space="preserve"> g__gut</t>
  </si>
  <si>
    <t xml:space="preserve"> g__Gulbenkiania</t>
  </si>
  <si>
    <t xml:space="preserve"> g__Granulicella</t>
  </si>
  <si>
    <t xml:space="preserve"> g__Gram-positive</t>
  </si>
  <si>
    <t xml:space="preserve"> g__GOUTA19</t>
  </si>
  <si>
    <t xml:space="preserve"> g__Gluconacetobacter</t>
  </si>
  <si>
    <t xml:space="preserve"> g__Geothrix</t>
  </si>
  <si>
    <t xml:space="preserve"> g__Geothermobacter</t>
  </si>
  <si>
    <t xml:space="preserve"> g__Georgfuchsia</t>
  </si>
  <si>
    <t xml:space="preserve"> g__Gemmiger</t>
  </si>
  <si>
    <t xml:space="preserve"> g__Gemmatimonas</t>
  </si>
  <si>
    <t xml:space="preserve"> g__Gemmata</t>
  </si>
  <si>
    <t xml:space="preserve"> g__Gaiella</t>
  </si>
  <si>
    <t xml:space="preserve"> g__G07</t>
  </si>
  <si>
    <t xml:space="preserve"> g__Frondihabitans</t>
  </si>
  <si>
    <t xml:space="preserve"> g__Formivibrio</t>
  </si>
  <si>
    <t xml:space="preserve"> g__Flavobacterium</t>
  </si>
  <si>
    <t xml:space="preserve"> g__Fimbriimonas</t>
  </si>
  <si>
    <t xml:space="preserve"> g__Filomicrobium</t>
  </si>
  <si>
    <t xml:space="preserve"> g__Filimonas</t>
  </si>
  <si>
    <t xml:space="preserve"> g__FFCH10602</t>
  </si>
  <si>
    <t xml:space="preserve"> g__Ferruginibacter</t>
  </si>
  <si>
    <t xml:space="preserve"> g__Faecalibacterium</t>
  </si>
  <si>
    <t xml:space="preserve"> g__Ethanoligenens</t>
  </si>
  <si>
    <t xml:space="preserve"> g__Estrella</t>
  </si>
  <si>
    <t xml:space="preserve"> g__Enterobacter</t>
  </si>
  <si>
    <t xml:space="preserve"> g__Enhydrobacter</t>
  </si>
  <si>
    <t xml:space="preserve"> g__Emticicia</t>
  </si>
  <si>
    <t xml:space="preserve"> g__Elstera</t>
  </si>
  <si>
    <t xml:space="preserve"> g__Ellin506</t>
  </si>
  <si>
    <t xml:space="preserve"> g__Elizabethkingia</t>
  </si>
  <si>
    <t xml:space="preserve"> g__Edaphobacter</t>
  </si>
  <si>
    <t xml:space="preserve"> g__Dyadobacter</t>
  </si>
  <si>
    <t xml:space="preserve"> g__Duganella</t>
  </si>
  <si>
    <t xml:space="preserve"> g__Dongia</t>
  </si>
  <si>
    <t xml:space="preserve"> g__Desulfuromonas</t>
  </si>
  <si>
    <t xml:space="preserve"> g__Desulfovirga</t>
  </si>
  <si>
    <t xml:space="preserve"> g__Desulfovibrio</t>
  </si>
  <si>
    <t xml:space="preserve"> g__Desulfotomaculum</t>
  </si>
  <si>
    <t xml:space="preserve"> g__Desulfosporosinus</t>
  </si>
  <si>
    <t xml:space="preserve"> g__Desulforudis</t>
  </si>
  <si>
    <t xml:space="preserve"> g__Desulforhabdus</t>
  </si>
  <si>
    <t xml:space="preserve"> g__Desulfopila</t>
  </si>
  <si>
    <t xml:space="preserve"> g__Desulfomicrobium</t>
  </si>
  <si>
    <t xml:space="preserve"> g__Desulfocapsa</t>
  </si>
  <si>
    <t xml:space="preserve"> g__Desulfobulbus</t>
  </si>
  <si>
    <t xml:space="preserve"> g__Desmospora</t>
  </si>
  <si>
    <t xml:space="preserve"> g__Denitromonas</t>
  </si>
  <si>
    <t xml:space="preserve"> g__Dehalogenimonas</t>
  </si>
  <si>
    <t xml:space="preserve"> g__Dehalobacter_Syntrophobotulus</t>
  </si>
  <si>
    <t xml:space="preserve"> g__Defluviitalea</t>
  </si>
  <si>
    <t xml:space="preserve"> g__DA101</t>
  </si>
  <si>
    <t xml:space="preserve"> g__Cytophaga</t>
  </si>
  <si>
    <t xml:space="preserve"> g__Cystobacter</t>
  </si>
  <si>
    <t xml:space="preserve"> g__Cryptosporangium</t>
  </si>
  <si>
    <t xml:space="preserve"> g__Coxiella</t>
  </si>
  <si>
    <t xml:space="preserve"> g__Coprococcus</t>
  </si>
  <si>
    <t xml:space="preserve"> g__Conexibacter</t>
  </si>
  <si>
    <t xml:space="preserve"> g__Collinsella</t>
  </si>
  <si>
    <t xml:space="preserve"> g__Clostridium</t>
  </si>
  <si>
    <t xml:space="preserve"> g__CL0-1</t>
  </si>
  <si>
    <t xml:space="preserve"> g__Chthonomonas</t>
  </si>
  <si>
    <t xml:space="preserve"> g__Chthoniobacter</t>
  </si>
  <si>
    <t xml:space="preserve"> g__Chroococcidiopsis</t>
  </si>
  <si>
    <t xml:space="preserve"> g__Chloronema</t>
  </si>
  <si>
    <t xml:space="preserve"> g__Chloroidium</t>
  </si>
  <si>
    <t xml:space="preserve"> g__Chlorobium</t>
  </si>
  <si>
    <t xml:space="preserve"> g__Chlamydia</t>
  </si>
  <si>
    <t xml:space="preserve"> g__Chitinophaga</t>
  </si>
  <si>
    <t xml:space="preserve"> g__Chitinibacter</t>
  </si>
  <si>
    <t xml:space="preserve"> g__Chelatococcus</t>
  </si>
  <si>
    <t xml:space="preserve"> g__CF231</t>
  </si>
  <si>
    <t xml:space="preserve"> g__Cellvibrio</t>
  </si>
  <si>
    <t xml:space="preserve"> g__cc_115</t>
  </si>
  <si>
    <t xml:space="preserve"> g__Caulobacter</t>
  </si>
  <si>
    <t xml:space="preserve"> g__Carboxydothermus</t>
  </si>
  <si>
    <t xml:space="preserve"> g__Carboxydocella</t>
  </si>
  <si>
    <t xml:space="preserve"> g__Candidatus Xiphinematobacter</t>
  </si>
  <si>
    <t xml:space="preserve"> g__Candidatus Solibacter</t>
  </si>
  <si>
    <t xml:space="preserve"> g__Candidatus Protochlamydia</t>
  </si>
  <si>
    <t xml:space="preserve"> g__Candidatus Koribacter</t>
  </si>
  <si>
    <t xml:space="preserve"> g__Candidatus Glomeribacter</t>
  </si>
  <si>
    <t xml:space="preserve"> g__Candidatus Arthromitus</t>
  </si>
  <si>
    <t xml:space="preserve"> g__Campylobacter</t>
  </si>
  <si>
    <t xml:space="preserve"> g__Caldinitratiruptor</t>
  </si>
  <si>
    <t xml:space="preserve"> g__Caldilinea</t>
  </si>
  <si>
    <t xml:space="preserve"> g__Byssovorax</t>
  </si>
  <si>
    <t xml:space="preserve"> g__Butyricicoccus</t>
  </si>
  <si>
    <t xml:space="preserve"> g__Burkholderia</t>
  </si>
  <si>
    <t xml:space="preserve"> g__BSV43</t>
  </si>
  <si>
    <t xml:space="preserve"> g__Bryocella</t>
  </si>
  <si>
    <t xml:space="preserve"> g__Bryobacter</t>
  </si>
  <si>
    <t xml:space="preserve"> g__Brochothrix</t>
  </si>
  <si>
    <t xml:space="preserve"> g__Brevundimonas</t>
  </si>
  <si>
    <t xml:space="preserve"> g__Brevibacillus</t>
  </si>
  <si>
    <t xml:space="preserve"> g__Brachymonas</t>
  </si>
  <si>
    <t xml:space="preserve"> g__Bordetella</t>
  </si>
  <si>
    <t xml:space="preserve"> g__Blastococcus</t>
  </si>
  <si>
    <t xml:space="preserve"> g__Belnapia</t>
  </si>
  <si>
    <t xml:space="preserve"> g__Bdellovibrio</t>
  </si>
  <si>
    <t xml:space="preserve"> g__Bacteroides</t>
  </si>
  <si>
    <t xml:space="preserve"> g__Bacillus</t>
  </si>
  <si>
    <t xml:space="preserve"> g__Azospira</t>
  </si>
  <si>
    <t xml:space="preserve"> g__Azorhizobium</t>
  </si>
  <si>
    <t xml:space="preserve"> g__Azoarcus</t>
  </si>
  <si>
    <t xml:space="preserve"> g__Aurantimonas</t>
  </si>
  <si>
    <t xml:space="preserve"> g__Asticcacaulis</t>
  </si>
  <si>
    <t xml:space="preserve"> g__Asteroleplasma</t>
  </si>
  <si>
    <t xml:space="preserve"> g__Arthrospira</t>
  </si>
  <si>
    <t xml:space="preserve"> g__Arthrobacter</t>
  </si>
  <si>
    <t xml:space="preserve"> g__Armatimonas</t>
  </si>
  <si>
    <t xml:space="preserve"> g__Arenimonas</t>
  </si>
  <si>
    <t xml:space="preserve"> g__Aquitalea</t>
  </si>
  <si>
    <t xml:space="preserve"> g__Aquicella</t>
  </si>
  <si>
    <t xml:space="preserve"> g__Aquamonas</t>
  </si>
  <si>
    <t xml:space="preserve"> g__Antarcticicola</t>
  </si>
  <si>
    <t xml:space="preserve"> g__Aneurinibacillus</t>
  </si>
  <si>
    <t xml:space="preserve"> g__Ancylobacter</t>
  </si>
  <si>
    <t xml:space="preserve"> g__Anaerospora</t>
  </si>
  <si>
    <t xml:space="preserve"> g__Anaerosinus</t>
  </si>
  <si>
    <t xml:space="preserve"> g__Anaerorhabdus</t>
  </si>
  <si>
    <t xml:space="preserve"> g__Anaerolinea</t>
  </si>
  <si>
    <t xml:space="preserve"> g__Anaerobiospirillum</t>
  </si>
  <si>
    <t xml:space="preserve"> g__Anabaena</t>
  </si>
  <si>
    <t xml:space="preserve"> g__Ammoniphilus</t>
  </si>
  <si>
    <t xml:space="preserve"> g__Ammonifex</t>
  </si>
  <si>
    <t xml:space="preserve"> g__Allobeggiatoa</t>
  </si>
  <si>
    <t xml:space="preserve"> g__Allobaculum</t>
  </si>
  <si>
    <t xml:space="preserve"> g__Alloactinosynnema</t>
  </si>
  <si>
    <t xml:space="preserve"> g__Alkanindiges</t>
  </si>
  <si>
    <t xml:space="preserve"> g__Alkanibacter</t>
  </si>
  <si>
    <t xml:space="preserve"> g__Alicyclobacillus</t>
  </si>
  <si>
    <t xml:space="preserve"> g__Akkermansia</t>
  </si>
  <si>
    <t xml:space="preserve"> g__Aetherobacter</t>
  </si>
  <si>
    <t xml:space="preserve"> g__Aestuariimicrobium</t>
  </si>
  <si>
    <t xml:space="preserve"> g__Aeromonas</t>
  </si>
  <si>
    <t xml:space="preserve"> g__Acutodesmus</t>
  </si>
  <si>
    <t xml:space="preserve"> g__Actinotelluria</t>
  </si>
  <si>
    <t xml:space="preserve"> g__Actinospica</t>
  </si>
  <si>
    <t xml:space="preserve"> g__Actinopolymorpha</t>
  </si>
  <si>
    <t xml:space="preserve"> g__Actinoplanes</t>
  </si>
  <si>
    <t xml:space="preserve"> g__Actinomycetospora</t>
  </si>
  <si>
    <t xml:space="preserve"> g__Actinomycetales</t>
  </si>
  <si>
    <t xml:space="preserve"> g__Actinomadura</t>
  </si>
  <si>
    <t xml:space="preserve"> g__Actinocorallia</t>
  </si>
  <si>
    <t xml:space="preserve"> g__Actinoallomurus</t>
  </si>
  <si>
    <t xml:space="preserve"> g__Acinetobacter</t>
  </si>
  <si>
    <t xml:space="preserve"> g__Acidovorax</t>
  </si>
  <si>
    <t xml:space="preserve"> g__Acidopila</t>
  </si>
  <si>
    <t xml:space="preserve"> g__Acidisphaera</t>
  </si>
  <si>
    <t xml:space="preserve"> g__Acidicapsa</t>
  </si>
  <si>
    <t xml:space="preserve"> g__Achromobacter</t>
  </si>
  <si>
    <t xml:space="preserve"> g__Acholeplasma</t>
  </si>
  <si>
    <t xml:space="preserve"> g__Acetonema</t>
  </si>
  <si>
    <t xml:space="preserve"> g__4-29</t>
  </si>
  <si>
    <t xml:space="preserve"> g__[Polyangium]</t>
  </si>
  <si>
    <t xml:space="preserve"> g__[Clostridium]</t>
  </si>
  <si>
    <t>Genus</t>
  </si>
  <si>
    <t>mean</t>
  </si>
  <si>
    <t>pI</t>
  </si>
  <si>
    <t>pII</t>
  </si>
  <si>
    <t>sI</t>
  </si>
  <si>
    <t>SII</t>
  </si>
  <si>
    <t>S14</t>
  </si>
  <si>
    <t>S19</t>
  </si>
  <si>
    <t>mean (Perm rainy)</t>
  </si>
  <si>
    <t>mean (Seas. Rainy)</t>
  </si>
  <si>
    <t>mean (Perm dry)</t>
  </si>
  <si>
    <t>mean (Seas. Dry)</t>
  </si>
  <si>
    <t>mean (Perm rainy)/depth</t>
  </si>
  <si>
    <t>mean (Seas. Rainy)/depth</t>
  </si>
  <si>
    <t>mean (Perm dry)/depth</t>
  </si>
  <si>
    <t>mean (Seas. Dry)/depth</t>
  </si>
  <si>
    <t>Humidity</t>
  </si>
  <si>
    <t>pH</t>
  </si>
  <si>
    <t>Eh</t>
  </si>
  <si>
    <t>10-20</t>
  </si>
  <si>
    <t>P3</t>
  </si>
  <si>
    <t>Dry</t>
  </si>
  <si>
    <t>Seasonal</t>
  </si>
  <si>
    <t>P2</t>
  </si>
  <si>
    <t>P1</t>
  </si>
  <si>
    <t>Rainy</t>
  </si>
  <si>
    <t>0-10</t>
  </si>
  <si>
    <t>Permanent</t>
  </si>
  <si>
    <t>C:N</t>
  </si>
  <si>
    <t>C:N:P</t>
  </si>
  <si>
    <t>P (ppm)</t>
  </si>
  <si>
    <t>N (ppm)</t>
  </si>
  <si>
    <t>C ppm</t>
  </si>
  <si>
    <t>Csoil (%)</t>
  </si>
  <si>
    <t>Depth</t>
  </si>
  <si>
    <t>Sampling point</t>
  </si>
  <si>
    <t>Season</t>
  </si>
  <si>
    <t>Wetland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</si>
</sst>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9" fontId="0" fillId="0" borderId="1" xfId="0" applyNumberFormat="1" applyBorder="1"/>
    <xf numFmtId="0" fontId="2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3" borderId="1" xfId="0" applyFont="1" applyFill="1" applyBorder="1"/>
    <xf numFmtId="0" fontId="2" fillId="4" borderId="1" xfId="0" applyFont="1" applyFill="1" applyBorder="1"/>
    <xf numFmtId="0" fontId="2" fillId="3" borderId="0" xfId="0" applyFont="1" applyFill="1"/>
    <xf numFmtId="9" fontId="0" fillId="0" borderId="0" xfId="0" applyNumberFormat="1"/>
    <xf numFmtId="9" fontId="0" fillId="5" borderId="1" xfId="0" applyNumberFormat="1" applyFill="1" applyBorder="1"/>
    <xf numFmtId="9" fontId="3" fillId="0" borderId="1" xfId="0" applyNumberFormat="1" applyFont="1" applyBorder="1"/>
    <xf numFmtId="9" fontId="4" fillId="0" borderId="1" xfId="0" applyNumberFormat="1" applyFont="1" applyBorder="1"/>
    <xf numFmtId="0" fontId="5" fillId="3" borderId="1" xfId="0" applyFont="1" applyFill="1" applyBorder="1"/>
    <xf numFmtId="9" fontId="5" fillId="0" borderId="1" xfId="0" applyNumberFormat="1" applyFont="1" applyBorder="1"/>
    <xf numFmtId="0" fontId="5" fillId="0" borderId="0" xfId="0" applyFont="1"/>
    <xf numFmtId="0" fontId="2" fillId="6" borderId="1" xfId="0" applyFont="1" applyFill="1" applyBorder="1"/>
    <xf numFmtId="10" fontId="0" fillId="6" borderId="1" xfId="0" applyNumberFormat="1" applyFill="1" applyBorder="1"/>
    <xf numFmtId="0" fontId="0" fillId="6" borderId="0" xfId="0" applyFill="1"/>
    <xf numFmtId="0" fontId="2" fillId="7" borderId="1" xfId="0" applyFont="1" applyFill="1" applyBorder="1"/>
    <xf numFmtId="10" fontId="0" fillId="7" borderId="1" xfId="0" applyNumberFormat="1" applyFill="1" applyBorder="1"/>
    <xf numFmtId="0" fontId="0" fillId="7" borderId="0" xfId="0" applyFill="1"/>
    <xf numFmtId="0" fontId="2" fillId="8" borderId="1" xfId="0" applyFont="1" applyFill="1" applyBorder="1"/>
    <xf numFmtId="10" fontId="0" fillId="8" borderId="1" xfId="0" applyNumberFormat="1" applyFill="1" applyBorder="1"/>
    <xf numFmtId="0" fontId="0" fillId="8" borderId="0" xfId="0" applyFill="1"/>
    <xf numFmtId="0" fontId="2" fillId="9" borderId="1" xfId="0" applyFont="1" applyFill="1" applyBorder="1"/>
    <xf numFmtId="10" fontId="0" fillId="9" borderId="1" xfId="0" applyNumberFormat="1" applyFill="1" applyBorder="1"/>
    <xf numFmtId="0" fontId="0" fillId="9" borderId="0" xfId="0" applyFill="1"/>
    <xf numFmtId="0" fontId="6" fillId="4" borderId="1" xfId="0" applyFont="1" applyFill="1" applyBorder="1"/>
    <xf numFmtId="0" fontId="1" fillId="0" borderId="0" xfId="1"/>
    <xf numFmtId="49" fontId="1" fillId="0" borderId="0" xfId="1" applyNumberFormat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D938FEB-764E-5642-83B7-DFC75CC0058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40DE-1274-43CD-A2AB-43DA50A55D98}">
  <dimension ref="A1:AB50"/>
  <sheetViews>
    <sheetView workbookViewId="0">
      <selection sqref="A1:W369"/>
    </sheetView>
  </sheetViews>
  <sheetFormatPr baseColWidth="10" defaultRowHeight="15" x14ac:dyDescent="0.2"/>
  <cols>
    <col min="1" max="1" width="21.6640625" style="2" customWidth="1"/>
    <col min="2" max="2" width="12.5" style="2" customWidth="1"/>
  </cols>
  <sheetData>
    <row r="1" spans="1:27" s="4" customFormat="1" x14ac:dyDescent="0.2">
      <c r="A1" s="3" t="s">
        <v>23</v>
      </c>
      <c r="B1" s="3" t="s">
        <v>943</v>
      </c>
      <c r="C1" s="3" t="s">
        <v>22</v>
      </c>
      <c r="D1" s="3" t="s">
        <v>13</v>
      </c>
      <c r="E1" s="3" t="s">
        <v>7</v>
      </c>
      <c r="F1" s="3" t="s">
        <v>6</v>
      </c>
      <c r="G1" s="3" t="s">
        <v>5</v>
      </c>
      <c r="H1" s="3" t="s">
        <v>4</v>
      </c>
      <c r="I1" s="3" t="s">
        <v>943</v>
      </c>
      <c r="J1" s="3" t="s">
        <v>3</v>
      </c>
      <c r="K1" s="3" t="s">
        <v>2</v>
      </c>
      <c r="L1" s="3" t="s">
        <v>1</v>
      </c>
      <c r="M1" s="3" t="s">
        <v>21</v>
      </c>
      <c r="N1" s="3" t="s">
        <v>20</v>
      </c>
      <c r="O1" s="3" t="s">
        <v>19</v>
      </c>
      <c r="P1" s="3" t="s">
        <v>943</v>
      </c>
      <c r="Q1" s="3" t="s">
        <v>18</v>
      </c>
      <c r="R1" s="3" t="s">
        <v>17</v>
      </c>
      <c r="S1" s="3" t="s">
        <v>16</v>
      </c>
      <c r="T1" s="3" t="s">
        <v>15</v>
      </c>
      <c r="U1" s="3" t="s">
        <v>14</v>
      </c>
      <c r="V1" s="3" t="s">
        <v>943</v>
      </c>
      <c r="W1" s="3" t="s">
        <v>12</v>
      </c>
      <c r="X1" s="3" t="s">
        <v>11</v>
      </c>
      <c r="Y1" s="3" t="s">
        <v>10</v>
      </c>
      <c r="Z1" s="3" t="s">
        <v>9</v>
      </c>
      <c r="AA1" s="3" t="s">
        <v>8</v>
      </c>
    </row>
    <row r="2" spans="1:27" x14ac:dyDescent="0.2">
      <c r="A2" s="6" t="s">
        <v>24</v>
      </c>
      <c r="B2" s="10">
        <f>AVERAGE(C2:H2)</f>
        <v>4.6166772850244224E-6</v>
      </c>
      <c r="C2" s="1">
        <v>0</v>
      </c>
      <c r="D2" s="1">
        <v>2.7700063710146532E-5</v>
      </c>
      <c r="E2" s="1">
        <v>0</v>
      </c>
      <c r="F2" s="1">
        <v>0</v>
      </c>
      <c r="G2" s="1">
        <v>0</v>
      </c>
      <c r="H2" s="1">
        <v>0</v>
      </c>
      <c r="I2" s="9">
        <f>AVERAGE(J2:O2)</f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1">
        <f>AVERAGE(Q2:T2,U2)</f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9">
        <f>AVERAGE(W2:AA2)</f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</row>
    <row r="3" spans="1:27" x14ac:dyDescent="0.2">
      <c r="A3" s="6" t="s">
        <v>25</v>
      </c>
      <c r="B3" s="10">
        <f t="shared" ref="B3:B49" si="0">AVERAGE(C3:H3)</f>
        <v>0.12392887576060924</v>
      </c>
      <c r="C3" s="1">
        <v>0.11164657041620391</v>
      </c>
      <c r="D3" s="1">
        <v>0.18476634996260516</v>
      </c>
      <c r="E3" s="1">
        <v>0.12537928584117977</v>
      </c>
      <c r="F3" s="1">
        <v>0.10633427300207178</v>
      </c>
      <c r="G3" s="1">
        <v>0.13659909823996594</v>
      </c>
      <c r="H3" s="1">
        <v>7.8847677101628849E-2</v>
      </c>
      <c r="I3" s="9">
        <f t="shared" ref="I3:I49" si="1">AVERAGE(J3:O3)</f>
        <v>0.10831844477961812</v>
      </c>
      <c r="J3" s="9">
        <v>6.7475053352215986E-2</v>
      </c>
      <c r="K3" s="9">
        <v>0.131600298784257</v>
      </c>
      <c r="L3" s="9">
        <v>0.14181442474336761</v>
      </c>
      <c r="M3" s="9">
        <v>0.12627014129065114</v>
      </c>
      <c r="N3" s="9">
        <v>9.3352679339940611E-2</v>
      </c>
      <c r="O3" s="9">
        <v>8.9398071167276355E-2</v>
      </c>
      <c r="P3" s="1">
        <f t="shared" ref="P3:P49" si="2">AVERAGE(Q3:T3,U3)</f>
        <v>0.11497578070052206</v>
      </c>
      <c r="Q3" s="1">
        <v>0.11955917596504963</v>
      </c>
      <c r="R3" s="1">
        <v>8.9719891938006516E-2</v>
      </c>
      <c r="S3" s="1">
        <v>0.10104628755448064</v>
      </c>
      <c r="T3" s="1">
        <v>0.14407910539379226</v>
      </c>
      <c r="U3" s="1">
        <v>0.12047444265128122</v>
      </c>
      <c r="V3" s="9">
        <f t="shared" ref="V3:V49" si="3">AVERAGE(W3:AA3)</f>
        <v>0.12612024440153322</v>
      </c>
      <c r="W3" s="9">
        <v>0.11909162925798776</v>
      </c>
      <c r="X3" s="9">
        <v>0.13267665790537875</v>
      </c>
      <c r="Y3" s="9">
        <v>0.10609880315762661</v>
      </c>
      <c r="Z3" s="9">
        <v>0.10706341254387454</v>
      </c>
      <c r="AA3" s="9">
        <v>0.16567071914279843</v>
      </c>
    </row>
    <row r="4" spans="1:27" x14ac:dyDescent="0.2">
      <c r="A4" s="6" t="s">
        <v>26</v>
      </c>
      <c r="B4" s="10">
        <f t="shared" si="0"/>
        <v>0.19418996041254491</v>
      </c>
      <c r="C4" s="1">
        <v>0.22843619440478077</v>
      </c>
      <c r="D4" s="1">
        <v>0.19450984737264884</v>
      </c>
      <c r="E4" s="1">
        <v>0.15881328832829977</v>
      </c>
      <c r="F4" s="1">
        <v>0.24646944944469037</v>
      </c>
      <c r="G4" s="1">
        <v>0.19341303203460627</v>
      </c>
      <c r="H4" s="1">
        <v>0.14349795089024336</v>
      </c>
      <c r="I4" s="9">
        <f t="shared" si="1"/>
        <v>0.24372022354844783</v>
      </c>
      <c r="J4" s="9">
        <v>0.2581007263732889</v>
      </c>
      <c r="K4" s="9">
        <v>0.24599474551823605</v>
      </c>
      <c r="L4" s="9">
        <v>0.21672443674176772</v>
      </c>
      <c r="M4" s="9">
        <v>0.20874554277594556</v>
      </c>
      <c r="N4" s="9">
        <v>0.30118289353957972</v>
      </c>
      <c r="O4" s="9">
        <v>0.23157299634186901</v>
      </c>
      <c r="P4" s="1">
        <f t="shared" si="2"/>
        <v>0.1805602752742701</v>
      </c>
      <c r="Q4" s="1">
        <v>0.17720217782373027</v>
      </c>
      <c r="R4" s="1">
        <v>0.17103496216250352</v>
      </c>
      <c r="S4" s="1">
        <v>0.20357341472562454</v>
      </c>
      <c r="T4" s="1">
        <v>0.16903306733566437</v>
      </c>
      <c r="U4" s="1">
        <v>0.18195775432382771</v>
      </c>
      <c r="V4" s="9">
        <f t="shared" si="3"/>
        <v>0.18880775506001479</v>
      </c>
      <c r="W4" s="9">
        <v>0.21812104310639066</v>
      </c>
      <c r="X4" s="9">
        <v>0.21691771128184503</v>
      </c>
      <c r="Y4" s="9">
        <v>0.2189202953908837</v>
      </c>
      <c r="Z4" s="9">
        <v>0.14042384256196005</v>
      </c>
      <c r="AA4" s="9">
        <v>0.14965588295899443</v>
      </c>
    </row>
    <row r="5" spans="1:27" x14ac:dyDescent="0.2">
      <c r="A5" s="6" t="s">
        <v>27</v>
      </c>
      <c r="B5" s="10">
        <f t="shared" si="0"/>
        <v>3.3775412729119547E-3</v>
      </c>
      <c r="C5" s="1">
        <v>4.4952139192976889E-4</v>
      </c>
      <c r="D5" s="1">
        <v>7.9845433644497397E-3</v>
      </c>
      <c r="E5" s="1">
        <v>2.8424231657488006E-4</v>
      </c>
      <c r="F5" s="1">
        <v>4.7277790985972897E-3</v>
      </c>
      <c r="G5" s="1">
        <v>1.7394355989227704E-3</v>
      </c>
      <c r="H5" s="1">
        <v>5.0797258669972797E-3</v>
      </c>
      <c r="I5" s="9">
        <f t="shared" si="1"/>
        <v>1.2436832322258314E-2</v>
      </c>
      <c r="J5" s="9">
        <v>3.7982862028232622E-3</v>
      </c>
      <c r="K5" s="9">
        <v>1.529337523181537E-2</v>
      </c>
      <c r="L5" s="9">
        <v>1.3484868684175441E-2</v>
      </c>
      <c r="M5" s="9">
        <v>3.4029062441352315E-2</v>
      </c>
      <c r="N5" s="9">
        <v>3.4859700464796011E-3</v>
      </c>
      <c r="O5" s="9">
        <v>4.5294313269038907E-3</v>
      </c>
      <c r="P5" s="1">
        <f t="shared" si="2"/>
        <v>4.3525704754770692E-3</v>
      </c>
      <c r="Q5" s="1">
        <v>1.2789634419655396E-3</v>
      </c>
      <c r="R5" s="1">
        <v>2.6304564197355321E-3</v>
      </c>
      <c r="S5" s="1">
        <v>4.4813181412552876E-3</v>
      </c>
      <c r="T5" s="1">
        <v>3.4962235447970318E-3</v>
      </c>
      <c r="U5" s="1">
        <v>9.8758908296319552E-3</v>
      </c>
      <c r="V5" s="9">
        <f t="shared" si="3"/>
        <v>2.7369533959524461E-2</v>
      </c>
      <c r="W5" s="9">
        <v>3.6852647375166664E-2</v>
      </c>
      <c r="X5" s="9">
        <v>7.278608976951071E-3</v>
      </c>
      <c r="Y5" s="9">
        <v>1.4279348102877516E-2</v>
      </c>
      <c r="Z5" s="9">
        <v>1.0025773358287492E-2</v>
      </c>
      <c r="AA5" s="9">
        <v>6.8411291984339567E-2</v>
      </c>
    </row>
    <row r="6" spans="1:27" x14ac:dyDescent="0.2">
      <c r="A6" s="6" t="s">
        <v>28</v>
      </c>
      <c r="B6" s="10">
        <f t="shared" si="0"/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9">
        <f t="shared" si="1"/>
        <v>3.2196579435400782E-6</v>
      </c>
      <c r="J6" s="9">
        <v>0</v>
      </c>
      <c r="K6" s="9">
        <v>1.931794766124047E-5</v>
      </c>
      <c r="L6" s="9">
        <v>0</v>
      </c>
      <c r="M6" s="9">
        <v>0</v>
      </c>
      <c r="N6" s="9">
        <v>0</v>
      </c>
      <c r="O6" s="9">
        <v>0</v>
      </c>
      <c r="P6" s="1">
        <f t="shared" si="2"/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9">
        <f t="shared" si="3"/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</row>
    <row r="7" spans="1:27" x14ac:dyDescent="0.2">
      <c r="A7" s="6" t="s">
        <v>29</v>
      </c>
      <c r="B7" s="10">
        <f t="shared" si="0"/>
        <v>3.2208414339968579E-3</v>
      </c>
      <c r="C7" s="1">
        <v>2.4591464382040309E-3</v>
      </c>
      <c r="D7" s="1">
        <v>4.3627600343480792E-4</v>
      </c>
      <c r="E7" s="1">
        <v>2.6647717178895007E-3</v>
      </c>
      <c r="F7" s="1">
        <v>1.1140169140372925E-3</v>
      </c>
      <c r="G7" s="1">
        <v>1.0558679249601381E-2</v>
      </c>
      <c r="H7" s="1">
        <v>2.0921582808141339E-3</v>
      </c>
      <c r="I7" s="9">
        <f t="shared" si="1"/>
        <v>1.5031437866406469E-3</v>
      </c>
      <c r="J7" s="9">
        <v>2.0884047850574638E-3</v>
      </c>
      <c r="K7" s="9">
        <v>1.3329383886255923E-3</v>
      </c>
      <c r="L7" s="9">
        <v>1.2465004666044526E-3</v>
      </c>
      <c r="M7" s="9">
        <v>5.898281455266898E-4</v>
      </c>
      <c r="N7" s="9">
        <v>1.260359540614318E-3</v>
      </c>
      <c r="O7" s="9">
        <v>2.5008313934153639E-3</v>
      </c>
      <c r="P7" s="1">
        <f t="shared" si="2"/>
        <v>2.0717656937467815E-3</v>
      </c>
      <c r="Q7" s="1">
        <v>3.0001852704051447E-3</v>
      </c>
      <c r="R7" s="1">
        <v>1.6746449278796783E-3</v>
      </c>
      <c r="S7" s="1">
        <v>3.0134116216810423E-3</v>
      </c>
      <c r="T7" s="1">
        <v>1.6280124903253353E-3</v>
      </c>
      <c r="U7" s="1">
        <v>1.0425741584427083E-3</v>
      </c>
      <c r="V7" s="9">
        <f t="shared" si="3"/>
        <v>9.5538551746872282E-4</v>
      </c>
      <c r="W7" s="9">
        <v>1.0562450488513337E-3</v>
      </c>
      <c r="X7" s="9">
        <v>2.211382935705621E-4</v>
      </c>
      <c r="Y7" s="9">
        <v>3.5650623885917992E-4</v>
      </c>
      <c r="Z7" s="9">
        <v>3.0688570870433742E-3</v>
      </c>
      <c r="AA7" s="9">
        <v>7.4180919019163407E-5</v>
      </c>
    </row>
    <row r="8" spans="1:27" x14ac:dyDescent="0.2">
      <c r="A8" s="6" t="s">
        <v>30</v>
      </c>
      <c r="B8" s="10">
        <f t="shared" si="0"/>
        <v>1.6347187836807272E-2</v>
      </c>
      <c r="C8" s="1">
        <v>1.189909566872918E-2</v>
      </c>
      <c r="D8" s="1">
        <v>1.5650535996232793E-3</v>
      </c>
      <c r="E8" s="1">
        <v>2.9582519097530662E-2</v>
      </c>
      <c r="F8" s="1">
        <v>1.0365791529395783E-2</v>
      </c>
      <c r="G8" s="1">
        <v>2.0804565255536825E-2</v>
      </c>
      <c r="H8" s="1">
        <v>2.3866101870027894E-2</v>
      </c>
      <c r="I8" s="9">
        <f t="shared" si="1"/>
        <v>6.5226840674775452E-3</v>
      </c>
      <c r="J8" s="9">
        <v>1.6008927930456118E-2</v>
      </c>
      <c r="K8" s="9">
        <v>3.7348032145064912E-4</v>
      </c>
      <c r="L8" s="9">
        <v>1.7664311425143312E-3</v>
      </c>
      <c r="M8" s="9">
        <v>2.9491407276334484E-4</v>
      </c>
      <c r="N8" s="9">
        <v>9.9906548951134936E-3</v>
      </c>
      <c r="O8" s="9">
        <v>1.0701696042567339E-2</v>
      </c>
      <c r="P8" s="1">
        <f t="shared" si="2"/>
        <v>1.6835762893569504E-2</v>
      </c>
      <c r="Q8" s="1">
        <v>1.632172504676584E-2</v>
      </c>
      <c r="R8" s="1">
        <v>2.4866897325307665E-2</v>
      </c>
      <c r="S8" s="1">
        <v>1.1174195884688506E-2</v>
      </c>
      <c r="T8" s="1">
        <v>1.8962342202887731E-2</v>
      </c>
      <c r="U8" s="1">
        <v>1.2853654008197771E-2</v>
      </c>
      <c r="V8" s="9">
        <f t="shared" si="3"/>
        <v>6.2630155430342203E-3</v>
      </c>
      <c r="W8" s="9">
        <v>2.7694229939394721E-4</v>
      </c>
      <c r="X8" s="9">
        <v>1.8145976546704381E-2</v>
      </c>
      <c r="Y8" s="9">
        <v>6.251591545709193E-3</v>
      </c>
      <c r="Z8" s="9">
        <v>5.816334889817319E-3</v>
      </c>
      <c r="AA8" s="9">
        <v>8.2423243354626014E-4</v>
      </c>
    </row>
    <row r="9" spans="1:27" x14ac:dyDescent="0.2">
      <c r="A9" s="6" t="s">
        <v>31</v>
      </c>
      <c r="B9" s="10">
        <f t="shared" si="0"/>
        <v>3.171245869847032E-4</v>
      </c>
      <c r="C9" s="1">
        <v>2.3798191337458352E-4</v>
      </c>
      <c r="D9" s="1">
        <v>5.5400127420293065E-5</v>
      </c>
      <c r="E9" s="1">
        <v>2.6292414283176409E-4</v>
      </c>
      <c r="F9" s="1">
        <v>8.8306218795639028E-5</v>
      </c>
      <c r="G9" s="1">
        <v>8.6208869595733799E-4</v>
      </c>
      <c r="H9" s="1">
        <v>3.9604642352860145E-4</v>
      </c>
      <c r="I9" s="9">
        <f t="shared" si="1"/>
        <v>2.8726673732193088E-4</v>
      </c>
      <c r="J9" s="9">
        <v>1.0637811873886456E-3</v>
      </c>
      <c r="K9" s="9">
        <v>0</v>
      </c>
      <c r="L9" s="9">
        <v>1.8664178109585388E-4</v>
      </c>
      <c r="M9" s="9">
        <v>1.742674066328856E-4</v>
      </c>
      <c r="N9" s="9">
        <v>8.6073334480977787E-5</v>
      </c>
      <c r="O9" s="9">
        <v>2.128367143332225E-4</v>
      </c>
      <c r="P9" s="1">
        <f t="shared" si="2"/>
        <v>2.6829954143814627E-4</v>
      </c>
      <c r="Q9" s="1">
        <v>1.9722333450870473E-4</v>
      </c>
      <c r="R9" s="1">
        <v>5.2925099135820016E-4</v>
      </c>
      <c r="S9" s="1">
        <v>2.1339610196453745E-4</v>
      </c>
      <c r="T9" s="1">
        <v>2.8023165817075448E-4</v>
      </c>
      <c r="U9" s="1">
        <v>1.2139562118853453E-4</v>
      </c>
      <c r="V9" s="9">
        <f t="shared" si="3"/>
        <v>1.2758286024949886E-4</v>
      </c>
      <c r="W9" s="9">
        <v>0</v>
      </c>
      <c r="X9" s="9">
        <v>3.7909421754953497E-5</v>
      </c>
      <c r="Y9" s="9">
        <v>1.3368983957219252E-4</v>
      </c>
      <c r="Z9" s="9">
        <v>4.6631503992034836E-4</v>
      </c>
      <c r="AA9" s="9">
        <v>0</v>
      </c>
    </row>
    <row r="10" spans="1:27" x14ac:dyDescent="0.2">
      <c r="A10" s="6" t="s">
        <v>32</v>
      </c>
      <c r="B10" s="10">
        <f t="shared" si="0"/>
        <v>8.6714379946175462E-4</v>
      </c>
      <c r="C10" s="1">
        <v>7.4699878364799818E-4</v>
      </c>
      <c r="D10" s="1">
        <v>4.2935098750727121E-4</v>
      </c>
      <c r="E10" s="1">
        <v>6.1112098063599205E-4</v>
      </c>
      <c r="F10" s="1">
        <v>5.5700845701864613E-4</v>
      </c>
      <c r="G10" s="1">
        <v>2.143778084637274E-3</v>
      </c>
      <c r="H10" s="1">
        <v>7.146055033233461E-4</v>
      </c>
      <c r="I10" s="9">
        <f t="shared" si="1"/>
        <v>5.0552830657343535E-4</v>
      </c>
      <c r="J10" s="9">
        <v>3.7199710233836076E-4</v>
      </c>
      <c r="K10" s="9">
        <v>3.8635895322480942E-4</v>
      </c>
      <c r="L10" s="9">
        <v>1.3998133582189041E-4</v>
      </c>
      <c r="M10" s="9">
        <v>1.0724148100485267E-4</v>
      </c>
      <c r="N10" s="9">
        <v>7.4391953372845098E-4</v>
      </c>
      <c r="O10" s="9">
        <v>1.2836714333222482E-3</v>
      </c>
      <c r="P10" s="1">
        <f t="shared" si="2"/>
        <v>9.1162197214337518E-4</v>
      </c>
      <c r="Q10" s="1">
        <v>1.7032924343933587E-3</v>
      </c>
      <c r="R10" s="1">
        <v>1.2638829644374931E-4</v>
      </c>
      <c r="S10" s="1">
        <v>5.3672352918353371E-4</v>
      </c>
      <c r="T10" s="1">
        <v>1.227681550081401E-3</v>
      </c>
      <c r="U10" s="1">
        <v>9.6402405061483281E-4</v>
      </c>
      <c r="V10" s="9">
        <f t="shared" si="3"/>
        <v>9.9589122146912521E-4</v>
      </c>
      <c r="W10" s="9">
        <v>1.0304829744891059E-4</v>
      </c>
      <c r="X10" s="9">
        <v>3.835169834209463E-3</v>
      </c>
      <c r="Y10" s="9">
        <v>3.8197097020626432E-4</v>
      </c>
      <c r="Z10" s="9">
        <v>5.3563214044904874E-4</v>
      </c>
      <c r="AA10" s="9">
        <v>1.23634865031939E-4</v>
      </c>
    </row>
    <row r="11" spans="1:27" x14ac:dyDescent="0.2">
      <c r="A11" s="6" t="s">
        <v>33</v>
      </c>
      <c r="B11" s="10">
        <f t="shared" si="0"/>
        <v>4.2742707725670947E-4</v>
      </c>
      <c r="C11" s="1">
        <v>5.4868052250251203E-4</v>
      </c>
      <c r="D11" s="1">
        <v>7.6175175202902962E-5</v>
      </c>
      <c r="E11" s="1">
        <v>4.7610588026292413E-4</v>
      </c>
      <c r="F11" s="1">
        <v>2.3774751214210505E-4</v>
      </c>
      <c r="G11" s="1">
        <v>1.7546938059308649E-4</v>
      </c>
      <c r="H11" s="1">
        <v>1.0503839928367258E-3</v>
      </c>
      <c r="I11" s="9">
        <f t="shared" si="1"/>
        <v>4.949917409353843E-4</v>
      </c>
      <c r="J11" s="9">
        <v>1.1290438369216914E-3</v>
      </c>
      <c r="K11" s="9">
        <v>9.6589738306202355E-5</v>
      </c>
      <c r="L11" s="9">
        <v>6.4658045593920816E-4</v>
      </c>
      <c r="M11" s="9">
        <v>3.0831925788895145E-4</v>
      </c>
      <c r="N11" s="9">
        <v>3.5044143324398106E-4</v>
      </c>
      <c r="O11" s="9">
        <v>4.3897572331227144E-4</v>
      </c>
      <c r="P11" s="1">
        <f t="shared" si="2"/>
        <v>3.6461424469043694E-4</v>
      </c>
      <c r="Q11" s="1">
        <v>2.9882323410409807E-4</v>
      </c>
      <c r="R11" s="1">
        <v>5.5294879694140322E-4</v>
      </c>
      <c r="S11" s="1">
        <v>2.263291990532973E-4</v>
      </c>
      <c r="T11" s="1">
        <v>3.736422108943393E-4</v>
      </c>
      <c r="U11" s="1">
        <v>3.7132778245904679E-4</v>
      </c>
      <c r="V11" s="9">
        <f t="shared" si="3"/>
        <v>6.5881373380819494E-4</v>
      </c>
      <c r="W11" s="9">
        <v>3.4134748529951632E-4</v>
      </c>
      <c r="X11" s="9">
        <v>7.5818843509906997E-4</v>
      </c>
      <c r="Y11" s="9">
        <v>5.7932263814616748E-4</v>
      </c>
      <c r="Z11" s="9">
        <v>1.2855171370777167E-3</v>
      </c>
      <c r="AA11" s="9">
        <v>3.2969297341850403E-4</v>
      </c>
    </row>
    <row r="12" spans="1:27" x14ac:dyDescent="0.2">
      <c r="A12" s="6" t="s">
        <v>34</v>
      </c>
      <c r="B12" s="10">
        <f t="shared" si="0"/>
        <v>5.8163709171528459E-2</v>
      </c>
      <c r="C12" s="1">
        <v>3.1175630652070435E-2</v>
      </c>
      <c r="D12" s="1">
        <v>6.5406775435583472E-2</v>
      </c>
      <c r="E12" s="1">
        <v>6.833895896251567E-2</v>
      </c>
      <c r="F12" s="1">
        <v>7.8626498658424804E-2</v>
      </c>
      <c r="G12" s="1">
        <v>6.4572732058255838E-2</v>
      </c>
      <c r="H12" s="1">
        <v>4.08616592623205E-2</v>
      </c>
      <c r="I12" s="9">
        <f t="shared" si="1"/>
        <v>0.13649059446556841</v>
      </c>
      <c r="J12" s="9">
        <v>0.12664217141887515</v>
      </c>
      <c r="K12" s="9">
        <v>0.12091103441170396</v>
      </c>
      <c r="L12" s="9">
        <v>0.19146113851486485</v>
      </c>
      <c r="M12" s="9">
        <v>0.13751709161103501</v>
      </c>
      <c r="N12" s="9">
        <v>8.5704448761773508E-2</v>
      </c>
      <c r="O12" s="9">
        <v>0.15670768207515806</v>
      </c>
      <c r="P12" s="1">
        <f t="shared" si="2"/>
        <v>6.4493015639100995E-2</v>
      </c>
      <c r="Q12" s="1">
        <v>6.0218858136657859E-2</v>
      </c>
      <c r="R12" s="1">
        <v>3.5696794476831432E-2</v>
      </c>
      <c r="S12" s="1">
        <v>0.10574100179770045</v>
      </c>
      <c r="T12" s="1">
        <v>5.7047158984760718E-2</v>
      </c>
      <c r="U12" s="1">
        <v>6.3761264799554518E-2</v>
      </c>
      <c r="V12" s="9">
        <f t="shared" si="3"/>
        <v>0.14458678877310888</v>
      </c>
      <c r="W12" s="9">
        <v>0.19761443191405717</v>
      </c>
      <c r="X12" s="9">
        <v>6.1141579053780627E-2</v>
      </c>
      <c r="Y12" s="9">
        <v>9.2761650114591254E-2</v>
      </c>
      <c r="Z12" s="9">
        <v>0.29395491867843782</v>
      </c>
      <c r="AA12" s="9">
        <v>7.7461364104677466E-2</v>
      </c>
    </row>
    <row r="13" spans="1:27" x14ac:dyDescent="0.2">
      <c r="A13" s="6" t="s">
        <v>35</v>
      </c>
      <c r="B13" s="10">
        <f t="shared" si="0"/>
        <v>2.0549403419530218E-4</v>
      </c>
      <c r="C13" s="1">
        <v>1.3882278280184039E-4</v>
      </c>
      <c r="D13" s="1">
        <v>1.2465028669565939E-4</v>
      </c>
      <c r="E13" s="1">
        <v>7.8166637058092026E-5</v>
      </c>
      <c r="F13" s="1">
        <v>2.9888258669293213E-4</v>
      </c>
      <c r="G13" s="1">
        <v>2.1361489811332272E-4</v>
      </c>
      <c r="H13" s="1">
        <v>3.7882701380996661E-4</v>
      </c>
      <c r="I13" s="9">
        <f t="shared" si="1"/>
        <v>1.9272106509546531E-4</v>
      </c>
      <c r="J13" s="9">
        <v>4.4378601682471111E-4</v>
      </c>
      <c r="K13" s="9">
        <v>3.8635895322480941E-5</v>
      </c>
      <c r="L13" s="9">
        <v>2.9329422743634177E-4</v>
      </c>
      <c r="M13" s="9">
        <v>2.0107777688409878E-5</v>
      </c>
      <c r="N13" s="9">
        <v>2.2747952684258415E-4</v>
      </c>
      <c r="O13" s="9">
        <v>1.3302294645826406E-4</v>
      </c>
      <c r="P13" s="1">
        <f t="shared" si="2"/>
        <v>3.6885289081310538E-4</v>
      </c>
      <c r="Q13" s="1">
        <v>9.5623434913311373E-4</v>
      </c>
      <c r="R13" s="1">
        <v>4.0286269491445089E-4</v>
      </c>
      <c r="S13" s="1">
        <v>3.1039433013023627E-4</v>
      </c>
      <c r="T13" s="1">
        <v>5.3377458699191329E-5</v>
      </c>
      <c r="U13" s="1">
        <v>1.2139562118853454E-4</v>
      </c>
      <c r="V13" s="9">
        <f t="shared" si="3"/>
        <v>1.7218481802967522E-4</v>
      </c>
      <c r="W13" s="9">
        <v>1.9321555771670734E-5</v>
      </c>
      <c r="X13" s="9">
        <v>3.4118479579458151E-4</v>
      </c>
      <c r="Y13" s="9">
        <v>2.037178507766743E-4</v>
      </c>
      <c r="Z13" s="9">
        <v>1.0712642808980975E-4</v>
      </c>
      <c r="AA13" s="9">
        <v>1.8957345971563981E-4</v>
      </c>
    </row>
    <row r="14" spans="1:27" x14ac:dyDescent="0.2">
      <c r="A14" s="6" t="s">
        <v>36</v>
      </c>
      <c r="B14" s="10">
        <f t="shared" si="0"/>
        <v>6.2827165771050153E-4</v>
      </c>
      <c r="C14" s="1">
        <v>2.3137130466973399E-4</v>
      </c>
      <c r="D14" s="1">
        <v>9.2795213428990874E-4</v>
      </c>
      <c r="E14" s="1">
        <v>4.6899982234855221E-4</v>
      </c>
      <c r="F14" s="1">
        <v>5.7059402914105221E-4</v>
      </c>
      <c r="G14" s="1">
        <v>1.2435438711597001E-3</v>
      </c>
      <c r="H14" s="1">
        <v>3.2716878465406207E-4</v>
      </c>
      <c r="I14" s="9">
        <f t="shared" si="1"/>
        <v>1.903214278779889E-4</v>
      </c>
      <c r="J14" s="9">
        <v>2.0884047850574638E-4</v>
      </c>
      <c r="K14" s="9">
        <v>7.7271790644961881E-5</v>
      </c>
      <c r="L14" s="9">
        <v>2.6663111585121981E-4</v>
      </c>
      <c r="M14" s="9">
        <v>2.9491407276334484E-4</v>
      </c>
      <c r="N14" s="9">
        <v>6.1480953200698427E-5</v>
      </c>
      <c r="O14" s="9">
        <v>2.3279015630196209E-4</v>
      </c>
      <c r="P14" s="1">
        <f t="shared" si="2"/>
        <v>5.9558728455114292E-4</v>
      </c>
      <c r="Q14" s="1">
        <v>9.5025788445103187E-4</v>
      </c>
      <c r="R14" s="1">
        <v>3.5546708374804495E-4</v>
      </c>
      <c r="S14" s="1">
        <v>7.7598582532559051E-4</v>
      </c>
      <c r="T14" s="1">
        <v>2.5354292882115881E-4</v>
      </c>
      <c r="U14" s="1">
        <v>6.4268270040988861E-4</v>
      </c>
      <c r="V14" s="9">
        <f t="shared" si="3"/>
        <v>3.4896668183228614E-4</v>
      </c>
      <c r="W14" s="9">
        <v>3.2202592952784557E-4</v>
      </c>
      <c r="X14" s="9">
        <v>3.538212697128993E-4</v>
      </c>
      <c r="Y14" s="9">
        <v>3.3740769034886685E-4</v>
      </c>
      <c r="Z14" s="9">
        <v>2.2055441077313773E-4</v>
      </c>
      <c r="AA14" s="9">
        <v>5.1102410879868122E-4</v>
      </c>
    </row>
    <row r="15" spans="1:27" x14ac:dyDescent="0.2">
      <c r="A15" s="6" t="s">
        <v>37</v>
      </c>
      <c r="B15" s="10">
        <f t="shared" si="0"/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9">
        <f t="shared" si="1"/>
        <v>3.2631324766522872E-6</v>
      </c>
      <c r="J15" s="9">
        <v>1.9578794859913723E-5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1">
        <f t="shared" si="2"/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9">
        <f t="shared" si="3"/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</row>
    <row r="16" spans="1:27" x14ac:dyDescent="0.2">
      <c r="A16" s="6" t="s">
        <v>38</v>
      </c>
      <c r="B16" s="10">
        <f t="shared" si="0"/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9">
        <f t="shared" si="1"/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1">
        <f t="shared" si="2"/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9">
        <f t="shared" si="3"/>
        <v>7.5818843509906994E-6</v>
      </c>
      <c r="W16" s="9">
        <v>0</v>
      </c>
      <c r="X16" s="9">
        <v>3.7909421754953497E-5</v>
      </c>
      <c r="Y16" s="9">
        <v>0</v>
      </c>
      <c r="Z16" s="9">
        <v>0</v>
      </c>
      <c r="AA16" s="9">
        <v>0</v>
      </c>
    </row>
    <row r="17" spans="1:27" x14ac:dyDescent="0.2">
      <c r="A17" s="6" t="s">
        <v>39</v>
      </c>
      <c r="B17" s="10">
        <f t="shared" si="0"/>
        <v>7.0431119142492249E-5</v>
      </c>
      <c r="C17" s="1">
        <v>1.7187582632608811E-4</v>
      </c>
      <c r="D17" s="1">
        <v>2.7700063710146532E-5</v>
      </c>
      <c r="E17" s="1">
        <v>7.1060579143720015E-5</v>
      </c>
      <c r="F17" s="1">
        <v>1.2906293516285706E-4</v>
      </c>
      <c r="G17" s="1">
        <v>2.2887310512141718E-5</v>
      </c>
      <c r="H17" s="1">
        <v>0</v>
      </c>
      <c r="I17" s="9">
        <f t="shared" si="1"/>
        <v>4.5651399838020963E-5</v>
      </c>
      <c r="J17" s="9">
        <v>6.5262649533045743E-5</v>
      </c>
      <c r="K17" s="9">
        <v>0</v>
      </c>
      <c r="L17" s="9">
        <v>1.5331289161445142E-4</v>
      </c>
      <c r="M17" s="9">
        <v>0</v>
      </c>
      <c r="N17" s="9">
        <v>5.5332857880628587E-5</v>
      </c>
      <c r="O17" s="9">
        <v>0</v>
      </c>
      <c r="P17" s="1">
        <f t="shared" si="2"/>
        <v>5.3347090100988366E-5</v>
      </c>
      <c r="Q17" s="1">
        <v>2.3905858728327845E-5</v>
      </c>
      <c r="R17" s="1">
        <v>0</v>
      </c>
      <c r="S17" s="1">
        <v>6.4665485443799218E-5</v>
      </c>
      <c r="T17" s="1">
        <v>1.0675491739838266E-4</v>
      </c>
      <c r="U17" s="1">
        <v>7.1409188934432085E-5</v>
      </c>
      <c r="V17" s="9">
        <f t="shared" si="3"/>
        <v>1.4124539945155394E-4</v>
      </c>
      <c r="W17" s="9">
        <v>4.5083630133898377E-5</v>
      </c>
      <c r="X17" s="9">
        <v>4.8018600889607768E-4</v>
      </c>
      <c r="Y17" s="9">
        <v>1.2732365673542144E-5</v>
      </c>
      <c r="Z17" s="9">
        <v>6.9317100528700436E-5</v>
      </c>
      <c r="AA17" s="9">
        <v>9.890789202555121E-5</v>
      </c>
    </row>
    <row r="18" spans="1:27" x14ac:dyDescent="0.2">
      <c r="A18" s="6" t="s">
        <v>40</v>
      </c>
      <c r="B18" s="10">
        <f t="shared" si="0"/>
        <v>4.9529837706301059E-2</v>
      </c>
      <c r="C18" s="1">
        <v>4.144190597070186E-2</v>
      </c>
      <c r="D18" s="1">
        <v>4.1688595883770496E-2</v>
      </c>
      <c r="E18" s="1">
        <v>2.9980458340735462E-2</v>
      </c>
      <c r="F18" s="1">
        <v>5.477702679754106E-2</v>
      </c>
      <c r="G18" s="1">
        <v>6.2100902522944541E-2</v>
      </c>
      <c r="H18" s="1">
        <v>6.719013672211295E-2</v>
      </c>
      <c r="I18" s="9">
        <f t="shared" si="1"/>
        <v>3.4075376086132432E-2</v>
      </c>
      <c r="J18" s="9">
        <v>3.7976335763279308E-2</v>
      </c>
      <c r="K18" s="9">
        <v>5.1817174943333953E-2</v>
      </c>
      <c r="L18" s="9">
        <v>2.8142914278096235E-2</v>
      </c>
      <c r="M18" s="9">
        <v>3.0161666532614827E-2</v>
      </c>
      <c r="N18" s="9">
        <v>2.8625531810245172E-2</v>
      </c>
      <c r="O18" s="9">
        <v>2.7728633189225128E-2</v>
      </c>
      <c r="P18" s="1">
        <f t="shared" si="2"/>
        <v>6.5719871648335232E-2</v>
      </c>
      <c r="Q18" s="1">
        <v>7.4418938221284481E-2</v>
      </c>
      <c r="R18" s="1">
        <v>8.7760873343128348E-2</v>
      </c>
      <c r="S18" s="1">
        <v>6.1910735763893547E-2</v>
      </c>
      <c r="T18" s="1">
        <v>5.2937094664922975E-2</v>
      </c>
      <c r="U18" s="1">
        <v>5.1571716248446829E-2</v>
      </c>
      <c r="V18" s="9">
        <f t="shared" si="3"/>
        <v>3.3617096898401228E-2</v>
      </c>
      <c r="W18" s="9">
        <v>2.2799435810571457E-2</v>
      </c>
      <c r="X18" s="9">
        <v>4.2742873028709917E-2</v>
      </c>
      <c r="Y18" s="9">
        <v>4.9395212630506745E-2</v>
      </c>
      <c r="Z18" s="9">
        <v>2.6195562445255272E-2</v>
      </c>
      <c r="AA18" s="9">
        <v>2.6952400576962736E-2</v>
      </c>
    </row>
    <row r="19" spans="1:27" x14ac:dyDescent="0.2">
      <c r="A19" s="6" t="s">
        <v>41</v>
      </c>
      <c r="B19" s="10">
        <f t="shared" si="0"/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9">
        <f t="shared" si="1"/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1">
        <f t="shared" si="2"/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9">
        <f t="shared" si="3"/>
        <v>4.9453946012775603E-6</v>
      </c>
      <c r="W19" s="9">
        <v>0</v>
      </c>
      <c r="X19" s="9">
        <v>0</v>
      </c>
      <c r="Y19" s="9">
        <v>0</v>
      </c>
      <c r="Z19" s="9">
        <v>0</v>
      </c>
      <c r="AA19" s="9">
        <v>2.4726973006387802E-5</v>
      </c>
    </row>
    <row r="20" spans="1:27" x14ac:dyDescent="0.2">
      <c r="A20" s="6" t="s">
        <v>42</v>
      </c>
      <c r="B20" s="10">
        <f t="shared" si="0"/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9">
        <f t="shared" si="1"/>
        <v>6.4215035791411604E-5</v>
      </c>
      <c r="J20" s="9">
        <v>0</v>
      </c>
      <c r="K20" s="9">
        <v>0</v>
      </c>
      <c r="L20" s="9">
        <v>1.3331555792560991E-4</v>
      </c>
      <c r="M20" s="9">
        <v>1.4745703638167242E-4</v>
      </c>
      <c r="N20" s="9">
        <v>1.0451762044118732E-4</v>
      </c>
      <c r="O20" s="9">
        <v>0</v>
      </c>
      <c r="P20" s="1">
        <f t="shared" si="2"/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9">
        <f t="shared" si="3"/>
        <v>4.479865234886044E-4</v>
      </c>
      <c r="W20" s="9">
        <v>1.1270907533474596E-3</v>
      </c>
      <c r="X20" s="9">
        <v>3.7909421754953497E-5</v>
      </c>
      <c r="Y20" s="9">
        <v>1.0185892538833715E-4</v>
      </c>
      <c r="Z20" s="9">
        <v>2.5206218374072882E-5</v>
      </c>
      <c r="AA20" s="9">
        <v>9.4786729857819908E-4</v>
      </c>
    </row>
    <row r="21" spans="1:27" x14ac:dyDescent="0.2">
      <c r="A21" s="6" t="s">
        <v>43</v>
      </c>
      <c r="B21" s="10">
        <f t="shared" si="0"/>
        <v>3.8661781950896212E-3</v>
      </c>
      <c r="C21" s="1">
        <v>4.4753820931831409E-3</v>
      </c>
      <c r="D21" s="1">
        <v>3.0123819284784349E-3</v>
      </c>
      <c r="E21" s="1">
        <v>6.6086338603659608E-3</v>
      </c>
      <c r="F21" s="1">
        <v>3.0771320857249599E-3</v>
      </c>
      <c r="G21" s="1">
        <v>3.7764062345033832E-3</v>
      </c>
      <c r="H21" s="1">
        <v>2.2471329682818473E-3</v>
      </c>
      <c r="I21" s="9">
        <f t="shared" si="1"/>
        <v>3.4622269690480008E-3</v>
      </c>
      <c r="J21" s="9">
        <v>3.5372356046910799E-3</v>
      </c>
      <c r="K21" s="9">
        <v>3.1745827323305174E-3</v>
      </c>
      <c r="L21" s="9">
        <v>2.1263831489134783E-3</v>
      </c>
      <c r="M21" s="9">
        <v>4.0416633153703861E-3</v>
      </c>
      <c r="N21" s="9">
        <v>4.4881095836509857E-3</v>
      </c>
      <c r="O21" s="9">
        <v>3.4053874293315592E-3</v>
      </c>
      <c r="P21" s="1">
        <f t="shared" si="2"/>
        <v>4.8768304092419255E-3</v>
      </c>
      <c r="Q21" s="1">
        <v>2.6953855716189646E-3</v>
      </c>
      <c r="R21" s="1">
        <v>8.6891953805077644E-3</v>
      </c>
      <c r="S21" s="1">
        <v>5.5741648452554927E-3</v>
      </c>
      <c r="T21" s="1">
        <v>4.5904614481304534E-3</v>
      </c>
      <c r="U21" s="1">
        <v>2.834944800696953E-3</v>
      </c>
      <c r="V21" s="9">
        <f t="shared" si="3"/>
        <v>4.9929505072884156E-3</v>
      </c>
      <c r="W21" s="9">
        <v>8.0828508311489231E-3</v>
      </c>
      <c r="X21" s="9">
        <v>5.1304084108370401E-3</v>
      </c>
      <c r="Y21" s="9">
        <v>4.6154825566590276E-3</v>
      </c>
      <c r="Z21" s="9">
        <v>1.7455306224045471E-3</v>
      </c>
      <c r="AA21" s="9">
        <v>5.3904801153925406E-3</v>
      </c>
    </row>
    <row r="22" spans="1:27" x14ac:dyDescent="0.2">
      <c r="A22" s="6" t="s">
        <v>44</v>
      </c>
      <c r="B22" s="10">
        <f t="shared" si="0"/>
        <v>1.5057911198789785E-5</v>
      </c>
      <c r="C22" s="1">
        <v>0</v>
      </c>
      <c r="D22" s="1">
        <v>0</v>
      </c>
      <c r="E22" s="1">
        <v>3.5530289571860007E-5</v>
      </c>
      <c r="F22" s="1">
        <v>2.0378358183609007E-5</v>
      </c>
      <c r="G22" s="1">
        <v>0</v>
      </c>
      <c r="H22" s="1">
        <v>3.4438819437269692E-5</v>
      </c>
      <c r="I22" s="9">
        <f t="shared" si="1"/>
        <v>4.2835626276243776E-6</v>
      </c>
      <c r="J22" s="9">
        <v>0</v>
      </c>
      <c r="K22" s="9">
        <v>0</v>
      </c>
      <c r="L22" s="9">
        <v>0</v>
      </c>
      <c r="M22" s="9">
        <v>1.3405185125606584E-5</v>
      </c>
      <c r="N22" s="9">
        <v>1.2296190640139685E-5</v>
      </c>
      <c r="O22" s="9">
        <v>0</v>
      </c>
      <c r="P22" s="1">
        <f t="shared" si="2"/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9">
        <f t="shared" si="3"/>
        <v>6.3403315394699308E-6</v>
      </c>
      <c r="W22" s="9">
        <v>0</v>
      </c>
      <c r="X22" s="9">
        <v>0</v>
      </c>
      <c r="Y22" s="9">
        <v>1.9098548510313215E-5</v>
      </c>
      <c r="Z22" s="9">
        <v>1.2603109187036441E-5</v>
      </c>
      <c r="AA22" s="9">
        <v>0</v>
      </c>
    </row>
    <row r="23" spans="1:27" x14ac:dyDescent="0.2">
      <c r="A23" s="6" t="s">
        <v>45</v>
      </c>
      <c r="B23" s="10">
        <f t="shared" si="0"/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9">
        <f t="shared" si="1"/>
        <v>5.5670864690746782E-6</v>
      </c>
      <c r="J23" s="9">
        <v>0</v>
      </c>
      <c r="K23" s="9">
        <v>0</v>
      </c>
      <c r="L23" s="9">
        <v>1.9997333688841487E-5</v>
      </c>
      <c r="M23" s="9">
        <v>1.3405185125606584E-5</v>
      </c>
      <c r="N23" s="9">
        <v>0</v>
      </c>
      <c r="O23" s="9">
        <v>0</v>
      </c>
      <c r="P23" s="1">
        <f t="shared" si="2"/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9">
        <f t="shared" si="3"/>
        <v>1.0082487349629153E-5</v>
      </c>
      <c r="W23" s="9">
        <v>0</v>
      </c>
      <c r="X23" s="9">
        <v>0</v>
      </c>
      <c r="Y23" s="9">
        <v>0</v>
      </c>
      <c r="Z23" s="9">
        <v>5.0412436748145764E-5</v>
      </c>
      <c r="AA23" s="9">
        <v>0</v>
      </c>
    </row>
    <row r="24" spans="1:27" x14ac:dyDescent="0.2">
      <c r="A24" s="6" t="s">
        <v>46</v>
      </c>
      <c r="B24" s="10">
        <f t="shared" si="0"/>
        <v>6.8024737022890307E-5</v>
      </c>
      <c r="C24" s="1">
        <v>1.3882278280184039E-4</v>
      </c>
      <c r="D24" s="1">
        <v>0</v>
      </c>
      <c r="E24" s="1">
        <v>7.8166637058092026E-5</v>
      </c>
      <c r="F24" s="1">
        <v>0</v>
      </c>
      <c r="G24" s="1">
        <v>5.3403724528330679E-5</v>
      </c>
      <c r="H24" s="1">
        <v>1.3775527774907877E-4</v>
      </c>
      <c r="I24" s="9">
        <f t="shared" si="1"/>
        <v>3.2440872522200636E-5</v>
      </c>
      <c r="J24" s="9">
        <v>3.2631324766522872E-5</v>
      </c>
      <c r="K24" s="9">
        <v>3.2196579435400785E-5</v>
      </c>
      <c r="L24" s="9">
        <v>2.6663111585121983E-5</v>
      </c>
      <c r="M24" s="9">
        <v>3.3512962814016462E-5</v>
      </c>
      <c r="N24" s="9">
        <v>4.3036667240488894E-5</v>
      </c>
      <c r="O24" s="9">
        <v>2.660458929165281E-5</v>
      </c>
      <c r="P24" s="1">
        <f t="shared" si="2"/>
        <v>4.8888949724695165E-5</v>
      </c>
      <c r="Q24" s="1">
        <v>5.3788182138737653E-5</v>
      </c>
      <c r="R24" s="1">
        <v>1.2638829644374931E-4</v>
      </c>
      <c r="S24" s="1">
        <v>0</v>
      </c>
      <c r="T24" s="1">
        <v>0</v>
      </c>
      <c r="U24" s="1">
        <v>6.426827004098888E-5</v>
      </c>
      <c r="V24" s="9">
        <f t="shared" si="3"/>
        <v>4.5848149532966276E-5</v>
      </c>
      <c r="W24" s="9">
        <v>7.7286223086682934E-5</v>
      </c>
      <c r="X24" s="9">
        <v>7.5818843509906994E-5</v>
      </c>
      <c r="Y24" s="9">
        <v>5.0929462694168576E-5</v>
      </c>
      <c r="Z24" s="9">
        <v>2.5206218374072882E-5</v>
      </c>
      <c r="AA24" s="9">
        <v>0</v>
      </c>
    </row>
    <row r="25" spans="1:27" x14ac:dyDescent="0.2">
      <c r="A25" s="6" t="s">
        <v>47</v>
      </c>
      <c r="B25" s="10">
        <f t="shared" si="0"/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9">
        <f t="shared" si="1"/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1">
        <f t="shared" si="2"/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9">
        <f t="shared" si="3"/>
        <v>1.5163768701981399E-5</v>
      </c>
      <c r="W25" s="9">
        <v>0</v>
      </c>
      <c r="X25" s="9">
        <v>7.5818843509906994E-5</v>
      </c>
      <c r="Y25" s="9">
        <v>0</v>
      </c>
      <c r="Z25" s="9">
        <v>0</v>
      </c>
      <c r="AA25" s="9">
        <v>0</v>
      </c>
    </row>
    <row r="26" spans="1:27" x14ac:dyDescent="0.2">
      <c r="A26" s="6" t="s">
        <v>48</v>
      </c>
      <c r="B26" s="10">
        <f t="shared" si="0"/>
        <v>4.9673232024301814E-4</v>
      </c>
      <c r="C26" s="1">
        <v>2.9086678301337986E-4</v>
      </c>
      <c r="D26" s="1">
        <v>1.9390044597102573E-4</v>
      </c>
      <c r="E26" s="1">
        <v>9.0246935512524413E-4</v>
      </c>
      <c r="F26" s="1">
        <v>1.2227014910165404E-4</v>
      </c>
      <c r="G26" s="1">
        <v>1.3503513202163613E-3</v>
      </c>
      <c r="H26" s="1">
        <v>1.2053586803044392E-4</v>
      </c>
      <c r="I26" s="9">
        <f t="shared" si="1"/>
        <v>9.7973076788584286E-4</v>
      </c>
      <c r="J26" s="9">
        <v>3.5241830747844696E-4</v>
      </c>
      <c r="K26" s="9">
        <v>1.8545229754790848E-3</v>
      </c>
      <c r="L26" s="9">
        <v>1.2198373550193304E-3</v>
      </c>
      <c r="M26" s="9">
        <v>1.3204107348722485E-3</v>
      </c>
      <c r="N26" s="9">
        <v>7.2547524776824131E-4</v>
      </c>
      <c r="O26" s="9">
        <v>4.0571998669770533E-4</v>
      </c>
      <c r="P26" s="1">
        <f t="shared" si="2"/>
        <v>3.2666771511322926E-4</v>
      </c>
      <c r="Q26" s="1">
        <v>6.0959939757236007E-4</v>
      </c>
      <c r="R26" s="1">
        <v>0</v>
      </c>
      <c r="S26" s="1">
        <v>2.2632919905329728E-4</v>
      </c>
      <c r="T26" s="1">
        <v>4.4036403426832846E-4</v>
      </c>
      <c r="U26" s="1">
        <v>3.5704594467216044E-4</v>
      </c>
      <c r="V26" s="9">
        <f t="shared" si="3"/>
        <v>9.743970152373872E-4</v>
      </c>
      <c r="W26" s="9">
        <v>1.8677503912615046E-3</v>
      </c>
      <c r="X26" s="9">
        <v>7.0132430246663976E-4</v>
      </c>
      <c r="Y26" s="9">
        <v>6.3661828367710712E-4</v>
      </c>
      <c r="Z26" s="9">
        <v>5.041243674814577E-4</v>
      </c>
      <c r="AA26" s="9">
        <v>1.1621677313002267E-3</v>
      </c>
    </row>
    <row r="27" spans="1:27" x14ac:dyDescent="0.2">
      <c r="A27" s="6" t="s">
        <v>49</v>
      </c>
      <c r="B27" s="10">
        <f t="shared" si="0"/>
        <v>1.4248955810486376E-3</v>
      </c>
      <c r="C27" s="1">
        <v>3.6358347876672484E-4</v>
      </c>
      <c r="D27" s="1">
        <v>2.2298551286667953E-3</v>
      </c>
      <c r="E27" s="1">
        <v>7.0349973352282821E-4</v>
      </c>
      <c r="F27" s="1">
        <v>1.0121251231192474E-3</v>
      </c>
      <c r="G27" s="1">
        <v>2.5786369843679669E-3</v>
      </c>
      <c r="H27" s="1">
        <v>1.6616730378482627E-3</v>
      </c>
      <c r="I27" s="9">
        <f t="shared" si="1"/>
        <v>4.7628658192541288E-3</v>
      </c>
      <c r="J27" s="9">
        <v>1.6772500929992757E-3</v>
      </c>
      <c r="K27" s="9">
        <v>5.1063774984545637E-3</v>
      </c>
      <c r="L27" s="9">
        <v>3.9728036261831752E-3</v>
      </c>
      <c r="M27" s="9">
        <v>7.6476581141585558E-3</v>
      </c>
      <c r="N27" s="9">
        <v>5.0783267343776899E-3</v>
      </c>
      <c r="O27" s="9">
        <v>5.0947788493515139E-3</v>
      </c>
      <c r="P27" s="1">
        <f t="shared" si="2"/>
        <v>7.7722635196518443E-4</v>
      </c>
      <c r="Q27" s="1">
        <v>2.450350519653604E-4</v>
      </c>
      <c r="R27" s="1">
        <v>2.3697805583202996E-5</v>
      </c>
      <c r="S27" s="1">
        <v>5.108573350060139E-4</v>
      </c>
      <c r="T27" s="1">
        <v>1.5212575729269531E-3</v>
      </c>
      <c r="U27" s="1">
        <v>1.5852839943443918E-3</v>
      </c>
      <c r="V27" s="9">
        <f t="shared" si="3"/>
        <v>9.7539082325669192E-3</v>
      </c>
      <c r="W27" s="9">
        <v>1.0613974637237794E-2</v>
      </c>
      <c r="X27" s="9">
        <v>6.0591892438334018E-3</v>
      </c>
      <c r="Y27" s="9">
        <v>1.4623121976063157E-2</v>
      </c>
      <c r="Z27" s="9">
        <v>4.3102633419664638E-3</v>
      </c>
      <c r="AA27" s="9">
        <v>1.3162991963733774E-2</v>
      </c>
    </row>
    <row r="28" spans="1:27" x14ac:dyDescent="0.2">
      <c r="A28" s="6" t="s">
        <v>50</v>
      </c>
      <c r="B28" s="10">
        <f t="shared" si="0"/>
        <v>4.0427029226747654E-5</v>
      </c>
      <c r="C28" s="1">
        <v>0</v>
      </c>
      <c r="D28" s="1">
        <v>0</v>
      </c>
      <c r="E28" s="1">
        <v>2.1318173743116006E-5</v>
      </c>
      <c r="F28" s="1">
        <v>0</v>
      </c>
      <c r="G28" s="1">
        <v>2.2124400161736995E-4</v>
      </c>
      <c r="H28" s="1">
        <v>0</v>
      </c>
      <c r="I28" s="9">
        <f t="shared" si="1"/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1">
        <f t="shared" si="2"/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9">
        <f t="shared" si="3"/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</row>
    <row r="29" spans="1:27" x14ac:dyDescent="0.2">
      <c r="A29" s="6" t="s">
        <v>51</v>
      </c>
      <c r="B29" s="10">
        <f t="shared" si="0"/>
        <v>3.1026534138444784E-4</v>
      </c>
      <c r="C29" s="1">
        <v>2.3798191337458352E-4</v>
      </c>
      <c r="D29" s="1">
        <v>2.07750477826099E-5</v>
      </c>
      <c r="E29" s="1">
        <v>3.6951501154734403E-4</v>
      </c>
      <c r="F29" s="1">
        <v>2.9888258669293213E-4</v>
      </c>
      <c r="G29" s="1">
        <v>3.6619696819426749E-4</v>
      </c>
      <c r="H29" s="1">
        <v>5.6824052071494991E-4</v>
      </c>
      <c r="I29" s="9">
        <f t="shared" si="1"/>
        <v>2.7416638118564935E-4</v>
      </c>
      <c r="J29" s="9">
        <v>3.3283951261853321E-4</v>
      </c>
      <c r="K29" s="9">
        <v>2.5757263548320626E-5</v>
      </c>
      <c r="L29" s="9">
        <v>5.732568990801226E-4</v>
      </c>
      <c r="M29" s="9">
        <v>3.0831925788895145E-4</v>
      </c>
      <c r="N29" s="9">
        <v>9.2221429801047627E-5</v>
      </c>
      <c r="O29" s="9">
        <v>3.1260392417692054E-4</v>
      </c>
      <c r="P29" s="1">
        <f t="shared" si="2"/>
        <v>2.0573968615404035E-4</v>
      </c>
      <c r="Q29" s="1">
        <v>1.7929394046245885E-4</v>
      </c>
      <c r="R29" s="1">
        <v>1.500861020269523E-4</v>
      </c>
      <c r="S29" s="1">
        <v>3.4919362139651582E-4</v>
      </c>
      <c r="T29" s="1">
        <v>2.0016547012196748E-4</v>
      </c>
      <c r="U29" s="1">
        <v>1.4995929676230737E-4</v>
      </c>
      <c r="V29" s="9">
        <f t="shared" si="3"/>
        <v>1.7682928056947318E-4</v>
      </c>
      <c r="W29" s="9">
        <v>1.6101296476392281E-4</v>
      </c>
      <c r="X29" s="9">
        <v>6.3182369591589164E-5</v>
      </c>
      <c r="Y29" s="9">
        <v>1.145912910618793E-4</v>
      </c>
      <c r="Z29" s="9">
        <v>3.9699793939164792E-4</v>
      </c>
      <c r="AA29" s="9">
        <v>1.4836183803832681E-4</v>
      </c>
    </row>
    <row r="30" spans="1:27" x14ac:dyDescent="0.2">
      <c r="A30" s="6" t="s">
        <v>52</v>
      </c>
      <c r="B30" s="10">
        <f t="shared" si="0"/>
        <v>1.0659086871558003E-5</v>
      </c>
      <c r="C30" s="1">
        <v>0</v>
      </c>
      <c r="D30" s="1">
        <v>0</v>
      </c>
      <c r="E30" s="1">
        <v>6.3954521229348018E-5</v>
      </c>
      <c r="F30" s="1">
        <v>0</v>
      </c>
      <c r="G30" s="1">
        <v>0</v>
      </c>
      <c r="H30" s="1">
        <v>0</v>
      </c>
      <c r="I30" s="9">
        <f t="shared" si="1"/>
        <v>1.1109629827134158E-5</v>
      </c>
      <c r="J30" s="9">
        <v>0</v>
      </c>
      <c r="K30" s="9">
        <v>0</v>
      </c>
      <c r="L30" s="9">
        <v>6.6657778962804954E-5</v>
      </c>
      <c r="M30" s="9">
        <v>0</v>
      </c>
      <c r="N30" s="9">
        <v>0</v>
      </c>
      <c r="O30" s="9">
        <v>0</v>
      </c>
      <c r="P30" s="1">
        <f t="shared" si="2"/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9">
        <f t="shared" si="3"/>
        <v>7.5818843509906994E-6</v>
      </c>
      <c r="W30" s="9">
        <v>0</v>
      </c>
      <c r="X30" s="9">
        <v>3.7909421754953497E-5</v>
      </c>
      <c r="Y30" s="9">
        <v>0</v>
      </c>
      <c r="Z30" s="9">
        <v>0</v>
      </c>
      <c r="AA30" s="9">
        <v>0</v>
      </c>
    </row>
    <row r="31" spans="1:27" x14ac:dyDescent="0.2">
      <c r="A31" s="6" t="s">
        <v>53</v>
      </c>
      <c r="B31" s="10">
        <f t="shared" si="0"/>
        <v>2.3083386425122112E-6</v>
      </c>
      <c r="C31" s="1">
        <v>0</v>
      </c>
      <c r="D31" s="1">
        <v>1.3850031855073266E-5</v>
      </c>
      <c r="E31" s="1">
        <v>0</v>
      </c>
      <c r="F31" s="1">
        <v>0</v>
      </c>
      <c r="G31" s="1">
        <v>0</v>
      </c>
      <c r="H31" s="1">
        <v>0</v>
      </c>
      <c r="I31" s="9">
        <f t="shared" si="1"/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1">
        <f t="shared" si="2"/>
        <v>2.8563675573772835E-6</v>
      </c>
      <c r="Q31" s="1">
        <v>0</v>
      </c>
      <c r="R31" s="1">
        <v>0</v>
      </c>
      <c r="S31" s="1">
        <v>0</v>
      </c>
      <c r="T31" s="1">
        <v>0</v>
      </c>
      <c r="U31" s="1">
        <v>1.4281837786886417E-5</v>
      </c>
      <c r="V31" s="9">
        <f t="shared" si="3"/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spans="1:27" x14ac:dyDescent="0.2">
      <c r="A32" s="6" t="s">
        <v>54</v>
      </c>
      <c r="B32" s="10">
        <f t="shared" si="0"/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9">
        <f t="shared" si="1"/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1">
        <f t="shared" si="2"/>
        <v>7.8992685277343316E-6</v>
      </c>
      <c r="Q32" s="1">
        <v>0</v>
      </c>
      <c r="R32" s="1">
        <v>3.9496342638671656E-5</v>
      </c>
      <c r="S32" s="1">
        <v>0</v>
      </c>
      <c r="T32" s="1">
        <v>0</v>
      </c>
      <c r="U32" s="1">
        <v>0</v>
      </c>
      <c r="V32" s="9">
        <f t="shared" si="3"/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</row>
    <row r="33" spans="1:27" x14ac:dyDescent="0.2">
      <c r="A33" s="6" t="s">
        <v>55</v>
      </c>
      <c r="B33" s="10">
        <f t="shared" si="0"/>
        <v>8.910842316747377E-3</v>
      </c>
      <c r="C33" s="1">
        <v>1.8992278809032755E-2</v>
      </c>
      <c r="D33" s="1">
        <v>5.256087089000305E-3</v>
      </c>
      <c r="E33" s="1">
        <v>6.0969976905311729E-3</v>
      </c>
      <c r="F33" s="1">
        <v>2.0514213904833062E-3</v>
      </c>
      <c r="G33" s="1">
        <v>1.9690716143945932E-2</v>
      </c>
      <c r="H33" s="1">
        <v>1.3775527774907881E-3</v>
      </c>
      <c r="I33" s="9">
        <f t="shared" si="1"/>
        <v>2.8046623789302525E-3</v>
      </c>
      <c r="J33" s="9">
        <v>6.7220529019037113E-4</v>
      </c>
      <c r="K33" s="9">
        <v>2.6336801978157839E-3</v>
      </c>
      <c r="L33" s="9">
        <v>2.8929476069857363E-3</v>
      </c>
      <c r="M33" s="9">
        <v>2.0711011019062171E-3</v>
      </c>
      <c r="N33" s="9">
        <v>7.7466001032879973E-3</v>
      </c>
      <c r="O33" s="9">
        <v>8.1143997339541078E-4</v>
      </c>
      <c r="P33" s="1">
        <f t="shared" si="2"/>
        <v>8.5334686316295167E-3</v>
      </c>
      <c r="Q33" s="1">
        <v>1.7295888789945198E-2</v>
      </c>
      <c r="R33" s="1">
        <v>2.1880973821824102E-3</v>
      </c>
      <c r="S33" s="1">
        <v>8.1025853261080406E-3</v>
      </c>
      <c r="T33" s="1">
        <v>5.2977127758947395E-3</v>
      </c>
      <c r="U33" s="1">
        <v>9.7830588840171918E-3</v>
      </c>
      <c r="V33" s="9">
        <f t="shared" si="3"/>
        <v>3.4056914769014894E-3</v>
      </c>
      <c r="W33" s="9">
        <v>3.046365293333418E-3</v>
      </c>
      <c r="X33" s="9">
        <v>7.2027901334411597E-3</v>
      </c>
      <c r="Y33" s="9">
        <v>2.0117137764196591E-3</v>
      </c>
      <c r="Z33" s="9">
        <v>1.5942933121601101E-3</v>
      </c>
      <c r="AA33" s="9">
        <v>3.1732948691531012E-3</v>
      </c>
    </row>
    <row r="34" spans="1:27" x14ac:dyDescent="0.2">
      <c r="A34" s="6" t="s">
        <v>56</v>
      </c>
      <c r="B34" s="10">
        <f t="shared" si="0"/>
        <v>0.40862607192701877</v>
      </c>
      <c r="C34" s="1">
        <v>0.41892088423502027</v>
      </c>
      <c r="D34" s="1">
        <v>0.38440070912163055</v>
      </c>
      <c r="E34" s="1">
        <v>0.38055782554628209</v>
      </c>
      <c r="F34" s="1">
        <v>0.39346533980911996</v>
      </c>
      <c r="G34" s="1">
        <v>0.33175919497700113</v>
      </c>
      <c r="H34" s="1">
        <v>0.54265247787305892</v>
      </c>
      <c r="I34" s="9">
        <f t="shared" si="1"/>
        <v>0.31658425770643589</v>
      </c>
      <c r="J34" s="9">
        <v>0.40286633556749041</v>
      </c>
      <c r="K34" s="9">
        <v>0.31139243766742303</v>
      </c>
      <c r="L34" s="9">
        <v>0.2656179176109858</v>
      </c>
      <c r="M34" s="9">
        <v>0.26853937102871256</v>
      </c>
      <c r="N34" s="9">
        <v>0.32610112387181955</v>
      </c>
      <c r="O34" s="9">
        <v>0.32498836049218394</v>
      </c>
      <c r="P34" s="1">
        <f t="shared" si="2"/>
        <v>0.42764675706328664</v>
      </c>
      <c r="Q34" s="1">
        <v>0.37997167155740619</v>
      </c>
      <c r="R34" s="1">
        <v>0.49055247484082676</v>
      </c>
      <c r="S34" s="1">
        <v>0.39039846872130396</v>
      </c>
      <c r="T34" s="1">
        <v>0.43648082414796419</v>
      </c>
      <c r="U34" s="1">
        <v>0.4408303460489324</v>
      </c>
      <c r="V34" s="9">
        <f t="shared" si="3"/>
        <v>0.30970895199592452</v>
      </c>
      <c r="W34" s="9">
        <v>0.22230738019025192</v>
      </c>
      <c r="X34" s="9">
        <v>0.38044000202184003</v>
      </c>
      <c r="Y34" s="9">
        <v>0.37816399286987401</v>
      </c>
      <c r="Z34" s="9">
        <v>0.27500614401572865</v>
      </c>
      <c r="AA34" s="9">
        <v>0.2926272408819281</v>
      </c>
    </row>
    <row r="35" spans="1:27" x14ac:dyDescent="0.2">
      <c r="A35" s="6" t="s">
        <v>57</v>
      </c>
      <c r="B35" s="10">
        <f t="shared" si="0"/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9">
        <f t="shared" si="1"/>
        <v>4.2277951120647805E-5</v>
      </c>
      <c r="J35" s="9">
        <v>0</v>
      </c>
      <c r="K35" s="9">
        <v>0</v>
      </c>
      <c r="L35" s="9">
        <v>1.8664178109585388E-4</v>
      </c>
      <c r="M35" s="9">
        <v>6.7025925628032924E-5</v>
      </c>
      <c r="N35" s="9">
        <v>0</v>
      </c>
      <c r="O35" s="9">
        <v>0</v>
      </c>
      <c r="P35" s="1">
        <f t="shared" si="2"/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9">
        <f t="shared" si="3"/>
        <v>5.1485807174016183E-5</v>
      </c>
      <c r="W35" s="9">
        <v>0</v>
      </c>
      <c r="X35" s="9">
        <v>0</v>
      </c>
      <c r="Y35" s="9">
        <v>0</v>
      </c>
      <c r="Z35" s="9">
        <v>1.0082487349629153E-4</v>
      </c>
      <c r="AA35" s="9">
        <v>1.566041623737894E-4</v>
      </c>
    </row>
    <row r="36" spans="1:27" x14ac:dyDescent="0.2">
      <c r="A36" s="6" t="s">
        <v>58</v>
      </c>
      <c r="B36" s="10">
        <f t="shared" si="0"/>
        <v>6.8061483872433007E-4</v>
      </c>
      <c r="C36" s="1">
        <v>2.3798191337458352E-4</v>
      </c>
      <c r="D36" s="1">
        <v>2.0775047782609901E-4</v>
      </c>
      <c r="E36" s="1">
        <v>1.5633327411618408E-3</v>
      </c>
      <c r="F36" s="1">
        <v>9.306116903848113E-4</v>
      </c>
      <c r="G36" s="1">
        <v>3.4330965768212575E-4</v>
      </c>
      <c r="H36" s="1">
        <v>8.0070255191652033E-4</v>
      </c>
      <c r="I36" s="9">
        <f t="shared" si="1"/>
        <v>3.6230278877627851E-4</v>
      </c>
      <c r="J36" s="9">
        <v>7.3746793972341703E-4</v>
      </c>
      <c r="K36" s="9">
        <v>6.439315887080157E-5</v>
      </c>
      <c r="L36" s="9">
        <v>3.7328356219170771E-4</v>
      </c>
      <c r="M36" s="9">
        <v>8.5122925547601817E-4</v>
      </c>
      <c r="N36" s="9">
        <v>6.7629048520768267E-5</v>
      </c>
      <c r="O36" s="9">
        <v>7.9813767874958432E-5</v>
      </c>
      <c r="P36" s="1">
        <f t="shared" si="2"/>
        <v>1.134579562538084E-3</v>
      </c>
      <c r="Q36" s="1">
        <v>4.7811717456655686E-4</v>
      </c>
      <c r="R36" s="1">
        <v>9.558114918558541E-4</v>
      </c>
      <c r="S36" s="1">
        <v>1.5778378448287015E-3</v>
      </c>
      <c r="T36" s="1">
        <v>1.2543702794309962E-3</v>
      </c>
      <c r="U36" s="1">
        <v>1.4067610220083117E-3</v>
      </c>
      <c r="V36" s="9">
        <f t="shared" si="3"/>
        <v>1.0731476066166625E-3</v>
      </c>
      <c r="W36" s="9">
        <v>1.0884476418041181E-3</v>
      </c>
      <c r="X36" s="9">
        <v>1.0741002830570158E-4</v>
      </c>
      <c r="Y36" s="9">
        <v>6.6844919786096264E-4</v>
      </c>
      <c r="Z36" s="9">
        <v>4.6001348532683016E-4</v>
      </c>
      <c r="AA36" s="9">
        <v>3.0414176797857002E-3</v>
      </c>
    </row>
    <row r="37" spans="1:27" x14ac:dyDescent="0.2">
      <c r="A37" s="6" t="s">
        <v>59</v>
      </c>
      <c r="B37" s="10">
        <f>AVERAGE(C37:H37)</f>
        <v>4.2286467798606141E-5</v>
      </c>
      <c r="C37" s="1">
        <v>1.9831826114548629E-5</v>
      </c>
      <c r="D37" s="1">
        <v>0</v>
      </c>
      <c r="E37" s="1">
        <v>3.5530289571860007E-5</v>
      </c>
      <c r="F37" s="1">
        <v>0</v>
      </c>
      <c r="G37" s="1">
        <v>1.9835669110522823E-4</v>
      </c>
      <c r="H37" s="1">
        <v>0</v>
      </c>
      <c r="I37" s="9">
        <f t="shared" si="1"/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1">
        <f t="shared" si="2"/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9">
        <f t="shared" si="3"/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</row>
    <row r="38" spans="1:27" x14ac:dyDescent="0.2">
      <c r="A38" s="6" t="s">
        <v>60</v>
      </c>
      <c r="B38" s="10">
        <f t="shared" si="0"/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9">
        <f t="shared" si="1"/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1">
        <f t="shared" si="2"/>
        <v>5.3377458699191332E-6</v>
      </c>
      <c r="Q38" s="1">
        <v>0</v>
      </c>
      <c r="R38" s="1">
        <v>0</v>
      </c>
      <c r="S38" s="1">
        <v>0</v>
      </c>
      <c r="T38" s="1">
        <v>2.6688729349595664E-5</v>
      </c>
      <c r="U38" s="1">
        <v>0</v>
      </c>
      <c r="V38" s="9">
        <f t="shared" si="3"/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</row>
    <row r="39" spans="1:27" x14ac:dyDescent="0.2">
      <c r="A39" s="6" t="s">
        <v>61</v>
      </c>
      <c r="B39" s="10">
        <f t="shared" si="0"/>
        <v>1.2766712965374502E-5</v>
      </c>
      <c r="C39" s="1">
        <v>0</v>
      </c>
      <c r="D39" s="1">
        <v>0</v>
      </c>
      <c r="E39" s="1">
        <v>4.2636347486232012E-5</v>
      </c>
      <c r="F39" s="1">
        <v>3.396393030601501E-5</v>
      </c>
      <c r="G39" s="1">
        <v>0</v>
      </c>
      <c r="H39" s="1">
        <v>0</v>
      </c>
      <c r="I39" s="9">
        <f t="shared" si="1"/>
        <v>1.2164764343151843E-4</v>
      </c>
      <c r="J39" s="9">
        <v>1.2399903411278691E-4</v>
      </c>
      <c r="K39" s="9">
        <v>3.2196579435400785E-5</v>
      </c>
      <c r="L39" s="9">
        <v>4.666044527396347E-5</v>
      </c>
      <c r="M39" s="9">
        <v>4.691814793962305E-5</v>
      </c>
      <c r="N39" s="9">
        <v>1.4755428768167621E-4</v>
      </c>
      <c r="O39" s="9">
        <v>3.3255736614566016E-4</v>
      </c>
      <c r="P39" s="1">
        <f t="shared" si="2"/>
        <v>1.5052358099904646E-4</v>
      </c>
      <c r="Q39" s="1">
        <v>6.5741111502901577E-5</v>
      </c>
      <c r="R39" s="1">
        <v>5.1345245430273157E-4</v>
      </c>
      <c r="S39" s="1">
        <v>1.2933097088759846E-5</v>
      </c>
      <c r="T39" s="1">
        <v>5.3377458699191329E-5</v>
      </c>
      <c r="U39" s="1">
        <v>1.0711378340164812E-4</v>
      </c>
      <c r="V39" s="9">
        <f t="shared" si="3"/>
        <v>9.7180209623066682E-5</v>
      </c>
      <c r="W39" s="9">
        <v>0</v>
      </c>
      <c r="X39" s="9">
        <v>1.3268297614233725E-4</v>
      </c>
      <c r="Y39" s="9">
        <v>1.7188693659281893E-4</v>
      </c>
      <c r="Z39" s="9">
        <v>0</v>
      </c>
      <c r="AA39" s="9">
        <v>1.8133113538017722E-4</v>
      </c>
    </row>
    <row r="40" spans="1:27" x14ac:dyDescent="0.2">
      <c r="A40" s="6" t="s">
        <v>62</v>
      </c>
      <c r="B40" s="10">
        <f t="shared" si="0"/>
        <v>9.3926659242220473E-4</v>
      </c>
      <c r="C40" s="1">
        <v>4.429107832249193E-4</v>
      </c>
      <c r="D40" s="1">
        <v>1.5858286474058892E-3</v>
      </c>
      <c r="E40" s="1">
        <v>2.8424231657488011E-4</v>
      </c>
      <c r="F40" s="1">
        <v>6.2493631763067619E-4</v>
      </c>
      <c r="G40" s="1">
        <v>3.1279324366593683E-4</v>
      </c>
      <c r="H40" s="1">
        <v>2.3848882460309265E-3</v>
      </c>
      <c r="I40" s="9">
        <f t="shared" si="1"/>
        <v>9.9497362129778613E-4</v>
      </c>
      <c r="J40" s="9">
        <v>1.8926168364583266E-4</v>
      </c>
      <c r="K40" s="9">
        <v>7.0832474757881719E-4</v>
      </c>
      <c r="L40" s="9">
        <v>7.8656179176109849E-4</v>
      </c>
      <c r="M40" s="9">
        <v>1.1662511059277727E-3</v>
      </c>
      <c r="N40" s="9">
        <v>4.0577429112460958E-4</v>
      </c>
      <c r="O40" s="9">
        <v>2.7136681077485855E-3</v>
      </c>
      <c r="P40" s="1">
        <f t="shared" si="2"/>
        <v>2.0481112739173767E-3</v>
      </c>
      <c r="Q40" s="1">
        <v>1.8945393042199814E-3</v>
      </c>
      <c r="R40" s="1">
        <v>3.2071030222601388E-3</v>
      </c>
      <c r="S40" s="1">
        <v>1.0863801554558269E-3</v>
      </c>
      <c r="T40" s="1">
        <v>1.5746350316261436E-3</v>
      </c>
      <c r="U40" s="1">
        <v>2.4778988560247928E-3</v>
      </c>
      <c r="V40" s="9">
        <f>AVERAGE(W40:AA40)</f>
        <v>1.4154426730193582E-3</v>
      </c>
      <c r="W40" s="9">
        <v>6.63373414827362E-4</v>
      </c>
      <c r="X40" s="9">
        <v>2.2050646987464627E-3</v>
      </c>
      <c r="Y40" s="9">
        <v>3.4632034632034628E-3</v>
      </c>
      <c r="Z40" s="9">
        <v>5.2302903126201223E-4</v>
      </c>
      <c r="AA40" s="9">
        <v>2.2254275705749026E-4</v>
      </c>
    </row>
    <row r="41" spans="1:27" x14ac:dyDescent="0.2">
      <c r="A41" s="6" t="s">
        <v>63</v>
      </c>
      <c r="B41" s="10">
        <f t="shared" si="0"/>
        <v>5.5670424131827167E-5</v>
      </c>
      <c r="C41" s="1">
        <v>1.4543339150668993E-4</v>
      </c>
      <c r="D41" s="1">
        <v>0</v>
      </c>
      <c r="E41" s="1">
        <v>8.5272694972464023E-5</v>
      </c>
      <c r="F41" s="1">
        <v>0</v>
      </c>
      <c r="G41" s="1">
        <v>0</v>
      </c>
      <c r="H41" s="1">
        <v>1.0331645831180907E-4</v>
      </c>
      <c r="I41" s="9">
        <f t="shared" si="1"/>
        <v>1.6875875658276473E-4</v>
      </c>
      <c r="J41" s="9">
        <v>3.3283951261853321E-4</v>
      </c>
      <c r="K41" s="9">
        <v>1.2878631774160313E-5</v>
      </c>
      <c r="L41" s="9">
        <v>9.332089054792694E-5</v>
      </c>
      <c r="M41" s="9">
        <v>7.3728518190836211E-5</v>
      </c>
      <c r="N41" s="9">
        <v>3.1355286132356194E-4</v>
      </c>
      <c r="O41" s="9">
        <v>1.8623212504156967E-4</v>
      </c>
      <c r="P41" s="1">
        <f t="shared" si="2"/>
        <v>5.5464489092274862E-5</v>
      </c>
      <c r="Q41" s="1">
        <v>0</v>
      </c>
      <c r="R41" s="1">
        <v>2.3697805583202996E-5</v>
      </c>
      <c r="S41" s="1">
        <v>7.1132033988179156E-5</v>
      </c>
      <c r="T41" s="1">
        <v>1.4678801142277615E-4</v>
      </c>
      <c r="U41" s="1">
        <v>3.5704594467216042E-5</v>
      </c>
      <c r="V41" s="9">
        <f t="shared" si="3"/>
        <v>1.8042643362668721E-4</v>
      </c>
      <c r="W41" s="9">
        <v>1.9321555771670734E-5</v>
      </c>
      <c r="X41" s="9">
        <v>5.8759603720177911E-4</v>
      </c>
      <c r="Y41" s="9">
        <v>0</v>
      </c>
      <c r="Z41" s="9">
        <v>2.457606291472106E-4</v>
      </c>
      <c r="AA41" s="9">
        <v>4.9453946012775605E-5</v>
      </c>
    </row>
    <row r="42" spans="1:27" x14ac:dyDescent="0.2">
      <c r="A42" s="6" t="s">
        <v>64</v>
      </c>
      <c r="B42" s="10">
        <f t="shared" si="0"/>
        <v>3.8729601248211655E-2</v>
      </c>
      <c r="C42" s="1">
        <v>4.3788672060923371E-2</v>
      </c>
      <c r="D42" s="1">
        <v>2.9826043599900251E-2</v>
      </c>
      <c r="E42" s="1">
        <v>7.0534730858056546E-2</v>
      </c>
      <c r="F42" s="1">
        <v>2.9066331555887646E-2</v>
      </c>
      <c r="G42" s="1">
        <v>4.5446569573609465E-2</v>
      </c>
      <c r="H42" s="1">
        <v>1.3715259840892662E-2</v>
      </c>
      <c r="I42" s="9">
        <f>AVERAGE(J42:O42)</f>
        <v>2.60263944466213E-2</v>
      </c>
      <c r="J42" s="9">
        <v>1.2791479308476964E-2</v>
      </c>
      <c r="K42" s="9">
        <v>1.0244951576344521E-2</v>
      </c>
      <c r="L42" s="9">
        <v>2.2303692840954546E-2</v>
      </c>
      <c r="M42" s="9">
        <v>7.5203088554652991E-3</v>
      </c>
      <c r="N42" s="9">
        <v>5.0248383050930802E-2</v>
      </c>
      <c r="O42" s="9">
        <v>5.3049551047555661E-2</v>
      </c>
      <c r="P42" s="1">
        <f t="shared" si="2"/>
        <v>2.5149891524965433E-2</v>
      </c>
      <c r="Q42" s="1">
        <v>5.7021449531744012E-2</v>
      </c>
      <c r="R42" s="1">
        <v>1.6185601213327634E-2</v>
      </c>
      <c r="S42" s="1">
        <v>2.8802007216668171E-2</v>
      </c>
      <c r="T42" s="1">
        <v>9.70135311857802E-3</v>
      </c>
      <c r="U42" s="1">
        <v>1.4039046544509342E-2</v>
      </c>
      <c r="V42" s="9">
        <f t="shared" si="3"/>
        <v>1.6199327654903815E-2</v>
      </c>
      <c r="W42" s="9">
        <v>5.1330933166738547E-3</v>
      </c>
      <c r="X42" s="9">
        <v>2.0944955519611761E-2</v>
      </c>
      <c r="Y42" s="9">
        <v>1.2006620830150251E-2</v>
      </c>
      <c r="Z42" s="9">
        <v>3.4916914002684478E-2</v>
      </c>
      <c r="AA42" s="9">
        <v>7.9950546053987222E-3</v>
      </c>
    </row>
    <row r="43" spans="1:27" x14ac:dyDescent="0.2">
      <c r="A43" s="6" t="s">
        <v>65</v>
      </c>
      <c r="B43" s="10">
        <f t="shared" si="0"/>
        <v>1.5109226927672971E-3</v>
      </c>
      <c r="C43" s="1">
        <v>1.5006081760008459E-3</v>
      </c>
      <c r="D43" s="1">
        <v>2.0498047145508435E-3</v>
      </c>
      <c r="E43" s="1">
        <v>1.9044235210516967E-3</v>
      </c>
      <c r="F43" s="1">
        <v>1.4808273613422546E-3</v>
      </c>
      <c r="G43" s="1">
        <v>1.7546938059308649E-4</v>
      </c>
      <c r="H43" s="1">
        <v>1.9544030030650551E-3</v>
      </c>
      <c r="I43" s="9">
        <f t="shared" si="1"/>
        <v>3.5077250887637161E-4</v>
      </c>
      <c r="J43" s="9">
        <v>3.8504963224496986E-4</v>
      </c>
      <c r="K43" s="9">
        <v>2.768905831444467E-4</v>
      </c>
      <c r="L43" s="9">
        <v>5.9992001066524461E-4</v>
      </c>
      <c r="M43" s="9">
        <v>2.8150888763773824E-4</v>
      </c>
      <c r="N43" s="9">
        <v>3.7503381452426036E-4</v>
      </c>
      <c r="O43" s="9">
        <v>1.8623212504156967E-4</v>
      </c>
      <c r="P43" s="1">
        <f>AVERAGE(Q43:T43,U43)</f>
        <v>2.6619365049107974E-3</v>
      </c>
      <c r="Q43" s="1">
        <v>3.1017851700005377E-3</v>
      </c>
      <c r="R43" s="1">
        <v>5.7664660252460627E-4</v>
      </c>
      <c r="S43" s="1">
        <v>3.9251949664386131E-3</v>
      </c>
      <c r="T43" s="1">
        <v>1.7214230430489205E-3</v>
      </c>
      <c r="U43" s="1">
        <v>3.9846327425413089E-3</v>
      </c>
      <c r="V43" s="9">
        <f t="shared" si="3"/>
        <v>2.8313967231892808E-4</v>
      </c>
      <c r="W43" s="9">
        <v>2.5118022503171954E-4</v>
      </c>
      <c r="X43" s="9">
        <v>3.3486655883542256E-4</v>
      </c>
      <c r="Y43" s="9">
        <v>1.6552075375604787E-4</v>
      </c>
      <c r="Z43" s="9">
        <v>4.663150399203483E-4</v>
      </c>
      <c r="AA43" s="9">
        <v>1.9781578405110242E-4</v>
      </c>
    </row>
    <row r="44" spans="1:27" x14ac:dyDescent="0.2">
      <c r="A44" s="6" t="s">
        <v>66</v>
      </c>
      <c r="B44" s="10">
        <f t="shared" si="0"/>
        <v>2.3686859714573342E-6</v>
      </c>
      <c r="C44" s="1">
        <v>0</v>
      </c>
      <c r="D44" s="1">
        <v>0</v>
      </c>
      <c r="E44" s="1">
        <v>1.4212115828744005E-5</v>
      </c>
      <c r="F44" s="1">
        <v>0</v>
      </c>
      <c r="G44" s="1">
        <v>0</v>
      </c>
      <c r="H44" s="1">
        <v>0</v>
      </c>
      <c r="I44" s="9">
        <f t="shared" si="1"/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1">
        <f t="shared" si="2"/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9">
        <f t="shared" si="3"/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</row>
    <row r="45" spans="1:27" x14ac:dyDescent="0.2">
      <c r="A45" s="6" t="s">
        <v>67</v>
      </c>
      <c r="B45" s="10">
        <f t="shared" si="0"/>
        <v>2.4448771397686146E-5</v>
      </c>
      <c r="C45" s="1">
        <v>0</v>
      </c>
      <c r="D45" s="1">
        <v>9.6950222985512865E-5</v>
      </c>
      <c r="E45" s="1">
        <v>4.9742405400604016E-5</v>
      </c>
      <c r="F45" s="1">
        <v>0</v>
      </c>
      <c r="G45" s="1">
        <v>0</v>
      </c>
      <c r="H45" s="1">
        <v>0</v>
      </c>
      <c r="I45" s="9">
        <f t="shared" si="1"/>
        <v>1.1590919793355945E-4</v>
      </c>
      <c r="J45" s="9">
        <v>0</v>
      </c>
      <c r="K45" s="9">
        <v>0</v>
      </c>
      <c r="L45" s="9">
        <v>5.9992001066524464E-5</v>
      </c>
      <c r="M45" s="9">
        <v>1.2734925869326255E-4</v>
      </c>
      <c r="N45" s="9">
        <v>4.918476256055874E-5</v>
      </c>
      <c r="O45" s="9">
        <v>4.5892916528101095E-4</v>
      </c>
      <c r="P45" s="1">
        <f t="shared" si="2"/>
        <v>2.8687030473993414E-5</v>
      </c>
      <c r="Q45" s="1">
        <v>1.4343515236996706E-4</v>
      </c>
      <c r="R45" s="1">
        <v>0</v>
      </c>
      <c r="S45" s="1">
        <v>0</v>
      </c>
      <c r="T45" s="1">
        <v>0</v>
      </c>
      <c r="U45" s="1">
        <v>0</v>
      </c>
      <c r="V45" s="9">
        <f t="shared" si="3"/>
        <v>6.6740566960517755E-4</v>
      </c>
      <c r="W45" s="9">
        <v>9.7895882576465049E-4</v>
      </c>
      <c r="X45" s="9">
        <v>1.3015568135867368E-3</v>
      </c>
      <c r="Y45" s="9">
        <v>8.339699516170104E-4</v>
      </c>
      <c r="Z45" s="9">
        <v>0</v>
      </c>
      <c r="AA45" s="9">
        <v>2.2254275705749021E-4</v>
      </c>
    </row>
    <row r="46" spans="1:27" x14ac:dyDescent="0.2">
      <c r="A46" s="6" t="s">
        <v>68</v>
      </c>
      <c r="B46" s="10">
        <f t="shared" si="0"/>
        <v>8.1118847317771089E-4</v>
      </c>
      <c r="C46" s="1">
        <v>1.5865460891638899E-3</v>
      </c>
      <c r="D46" s="1">
        <v>2.4237555746378219E-4</v>
      </c>
      <c r="E46" s="1">
        <v>1.7765144785930002E-3</v>
      </c>
      <c r="F46" s="1">
        <v>4.2794552185578916E-4</v>
      </c>
      <c r="G46" s="1">
        <v>7.4765214339662944E-4</v>
      </c>
      <c r="H46" s="1">
        <v>8.6097048593174229E-5</v>
      </c>
      <c r="I46" s="9">
        <f t="shared" si="1"/>
        <v>3.7818583289200939E-4</v>
      </c>
      <c r="J46" s="9">
        <v>5.6125878598419334E-4</v>
      </c>
      <c r="K46" s="9">
        <v>8.371110653204203E-5</v>
      </c>
      <c r="L46" s="9">
        <v>6.5324623383548853E-4</v>
      </c>
      <c r="M46" s="9">
        <v>0</v>
      </c>
      <c r="N46" s="9">
        <v>2.4592381280279371E-4</v>
      </c>
      <c r="O46" s="9">
        <v>7.2497505819753901E-4</v>
      </c>
      <c r="P46" s="1">
        <f t="shared" si="2"/>
        <v>5.6513142032794787E-4</v>
      </c>
      <c r="Q46" s="1">
        <v>9.801402078614416E-4</v>
      </c>
      <c r="R46" s="1">
        <v>7.0303489896835554E-4</v>
      </c>
      <c r="S46" s="1">
        <v>6.6605450007113198E-4</v>
      </c>
      <c r="T46" s="1">
        <v>3.3360911686994581E-4</v>
      </c>
      <c r="U46" s="1">
        <v>1.4281837786886417E-4</v>
      </c>
      <c r="V46" s="9">
        <f t="shared" si="3"/>
        <v>1.7578579226396778E-4</v>
      </c>
      <c r="W46" s="9">
        <v>1.0948881603946749E-4</v>
      </c>
      <c r="X46" s="9">
        <v>5.0545895673271334E-5</v>
      </c>
      <c r="Y46" s="9">
        <v>5.0929462694168576E-5</v>
      </c>
      <c r="Z46" s="9">
        <v>6.6796478691293147E-4</v>
      </c>
      <c r="AA46" s="9">
        <v>0</v>
      </c>
    </row>
    <row r="47" spans="1:27" x14ac:dyDescent="0.2">
      <c r="A47" s="6" t="s">
        <v>69</v>
      </c>
      <c r="B47" s="10">
        <f t="shared" si="0"/>
        <v>1.004465566920366E-5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6.026793401522196E-5</v>
      </c>
      <c r="I47" s="9">
        <f t="shared" si="1"/>
        <v>4.3508433022030495E-6</v>
      </c>
      <c r="J47" s="9">
        <v>2.6105059813218297E-5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1">
        <f t="shared" si="2"/>
        <v>2.5866194177519691E-6</v>
      </c>
      <c r="Q47" s="1">
        <v>0</v>
      </c>
      <c r="R47" s="1">
        <v>0</v>
      </c>
      <c r="S47" s="1">
        <v>1.2933097088759846E-5</v>
      </c>
      <c r="T47" s="1">
        <v>0</v>
      </c>
      <c r="U47" s="1">
        <v>0</v>
      </c>
      <c r="V47" s="9">
        <f t="shared" si="3"/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</row>
    <row r="48" spans="1:27" x14ac:dyDescent="0.2">
      <c r="A48" s="6" t="s">
        <v>70</v>
      </c>
      <c r="B48" s="10">
        <f t="shared" si="0"/>
        <v>3.6714632557588674E-5</v>
      </c>
      <c r="C48" s="1">
        <v>0</v>
      </c>
      <c r="D48" s="1">
        <v>0</v>
      </c>
      <c r="E48" s="1">
        <v>2.2028779534553206E-4</v>
      </c>
      <c r="F48" s="1">
        <v>0</v>
      </c>
      <c r="G48" s="1">
        <v>0</v>
      </c>
      <c r="H48" s="1">
        <v>0</v>
      </c>
      <c r="I48" s="9">
        <f t="shared" si="1"/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1">
        <f t="shared" si="2"/>
        <v>2.7063718594431099E-5</v>
      </c>
      <c r="Q48" s="1">
        <v>0</v>
      </c>
      <c r="R48" s="1">
        <v>0</v>
      </c>
      <c r="S48" s="1">
        <v>0</v>
      </c>
      <c r="T48" s="1">
        <v>1.0675491739838266E-4</v>
      </c>
      <c r="U48" s="1">
        <v>2.8563675573772835E-5</v>
      </c>
      <c r="V48" s="9">
        <f t="shared" si="3"/>
        <v>3.7909421754953497E-6</v>
      </c>
      <c r="W48" s="9">
        <v>0</v>
      </c>
      <c r="X48" s="9">
        <v>1.8954710877476749E-5</v>
      </c>
      <c r="Y48" s="9">
        <v>0</v>
      </c>
      <c r="Z48" s="9">
        <v>0</v>
      </c>
      <c r="AA48" s="9">
        <v>0</v>
      </c>
    </row>
    <row r="49" spans="1:28" x14ac:dyDescent="0.2">
      <c r="A49" s="6" t="s">
        <v>0</v>
      </c>
      <c r="B49" s="10">
        <f t="shared" si="0"/>
        <v>8.2094180472975245E-2</v>
      </c>
      <c r="C49" s="1">
        <v>7.9274419588555661E-2</v>
      </c>
      <c r="D49" s="1">
        <v>7.2837317525830128E-2</v>
      </c>
      <c r="E49" s="1">
        <v>0.111039260969977</v>
      </c>
      <c r="F49" s="1">
        <v>6.3091396936453395E-2</v>
      </c>
      <c r="G49" s="1">
        <v>9.8529871754770196E-2</v>
      </c>
      <c r="H49" s="1">
        <v>6.7792816062265143E-2</v>
      </c>
      <c r="I49" s="9">
        <f t="shared" si="1"/>
        <v>9.7658637674980842E-2</v>
      </c>
      <c r="J49" s="9">
        <v>5.9989427450775568E-2</v>
      </c>
      <c r="K49" s="9">
        <v>9.6415876777250997E-2</v>
      </c>
      <c r="L49" s="9">
        <v>0.10191974403412878</v>
      </c>
      <c r="M49" s="9">
        <v>0.1672162792568159</v>
      </c>
      <c r="N49" s="9">
        <v>7.8627991048372925E-2</v>
      </c>
      <c r="O49" s="9">
        <v>8.1782507482540914E-2</v>
      </c>
      <c r="P49" s="1">
        <f t="shared" si="2"/>
        <v>7.417298673693426E-2</v>
      </c>
      <c r="Q49" s="1">
        <v>7.9134368855447168E-2</v>
      </c>
      <c r="R49" s="1">
        <v>6.0713777904166044E-2</v>
      </c>
      <c r="S49" s="1">
        <v>6.5616068079822926E-2</v>
      </c>
      <c r="T49" s="1">
        <v>8.7071979503055855E-2</v>
      </c>
      <c r="U49" s="1">
        <v>7.8328739342179279E-2</v>
      </c>
      <c r="V49" s="9">
        <f t="shared" si="3"/>
        <v>0.12013010373834321</v>
      </c>
      <c r="W49" s="9">
        <v>0.14782922320905212</v>
      </c>
      <c r="X49" s="9">
        <v>8.9523099474323325E-2</v>
      </c>
      <c r="Y49" s="9">
        <v>9.2589763177998427E-2</v>
      </c>
      <c r="Z49" s="9">
        <v>8.9715232747918941E-2</v>
      </c>
      <c r="AA49" s="9">
        <v>0.18099320008242326</v>
      </c>
    </row>
    <row r="50" spans="1:28" x14ac:dyDescent="0.2">
      <c r="C50" s="8">
        <f>SUM(C12,C34,C42,C8,C4,C3)</f>
        <v>0.84586704743772789</v>
      </c>
      <c r="D50" s="8">
        <f t="shared" ref="D50:Z50" si="4">SUM(D12,D34,D42,D8,D4,D3)</f>
        <v>0.86047477909199155</v>
      </c>
      <c r="E50" s="8">
        <f t="shared" si="4"/>
        <v>0.83320660863386442</v>
      </c>
      <c r="F50" s="8">
        <f t="shared" si="4"/>
        <v>0.86432768399959037</v>
      </c>
      <c r="G50" s="8">
        <f t="shared" si="4"/>
        <v>0.79259519213897556</v>
      </c>
      <c r="H50" s="8">
        <f t="shared" si="4"/>
        <v>0.84344112683817229</v>
      </c>
      <c r="I50" s="8"/>
      <c r="J50" s="8">
        <f t="shared" si="4"/>
        <v>0.8838846939508036</v>
      </c>
      <c r="K50" s="8">
        <f t="shared" si="4"/>
        <v>0.82051694827941524</v>
      </c>
      <c r="L50" s="8">
        <f t="shared" si="4"/>
        <v>0.83968804159445487</v>
      </c>
      <c r="M50" s="8">
        <f t="shared" si="4"/>
        <v>0.74888736963457292</v>
      </c>
      <c r="N50" s="8">
        <f t="shared" si="4"/>
        <v>0.86658018345915777</v>
      </c>
      <c r="O50" s="8">
        <f t="shared" si="4"/>
        <v>0.86641835716661042</v>
      </c>
      <c r="P50" s="8"/>
      <c r="Q50" s="8">
        <f>SUM(Q12,Q34,Q42,Q8,Q4,Q3)</f>
        <v>0.81029505806135382</v>
      </c>
      <c r="R50" s="8">
        <f t="shared" si="4"/>
        <v>0.82805662195680363</v>
      </c>
      <c r="S50" s="8">
        <f t="shared" si="4"/>
        <v>0.84073537590046621</v>
      </c>
      <c r="T50" s="8">
        <f t="shared" si="4"/>
        <v>0.83530385118364725</v>
      </c>
      <c r="U50" s="8">
        <f t="shared" si="4"/>
        <v>0.83391650837630305</v>
      </c>
      <c r="V50" s="8"/>
      <c r="W50" s="8">
        <f t="shared" si="4"/>
        <v>0.76254452008475537</v>
      </c>
      <c r="X50" s="8">
        <f>SUM(X12,X34,X42,X8,X4,X3)</f>
        <v>0.83026688232916057</v>
      </c>
      <c r="Y50" s="8">
        <f t="shared" si="4"/>
        <v>0.81420295390883513</v>
      </c>
      <c r="Z50" s="8">
        <f t="shared" si="4"/>
        <v>0.85718156669250289</v>
      </c>
      <c r="AA50" s="8">
        <f>SUM(AA12,AA34,AA42,AA8,AA4,AA3)</f>
        <v>0.69423449412734339</v>
      </c>
      <c r="AB50" s="8">
        <f>AVERAGE(C50:AA50)</f>
        <v>0.82602844840211409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E80C-35CC-4DF9-B9AB-036D394F5DEB}">
  <dimension ref="A1:W369"/>
  <sheetViews>
    <sheetView zoomScale="82" workbookViewId="0">
      <selection activeCell="E39" sqref="E39"/>
    </sheetView>
  </sheetViews>
  <sheetFormatPr baseColWidth="10" defaultRowHeight="15" x14ac:dyDescent="0.2"/>
  <cols>
    <col min="1" max="1" width="20.33203125" customWidth="1"/>
  </cols>
  <sheetData>
    <row r="1" spans="1:23" s="7" customFormat="1" x14ac:dyDescent="0.2">
      <c r="A1" s="5" t="s">
        <v>73</v>
      </c>
      <c r="B1" s="18" t="s">
        <v>22</v>
      </c>
      <c r="C1" s="15" t="s">
        <v>13</v>
      </c>
      <c r="D1" s="18" t="s">
        <v>7</v>
      </c>
      <c r="E1" s="15" t="s">
        <v>6</v>
      </c>
      <c r="F1" s="18" t="s">
        <v>5</v>
      </c>
      <c r="G1" s="15" t="s">
        <v>4</v>
      </c>
      <c r="H1" s="21" t="s">
        <v>3</v>
      </c>
      <c r="I1" s="24" t="s">
        <v>2</v>
      </c>
      <c r="J1" s="21" t="s">
        <v>1</v>
      </c>
      <c r="K1" s="24" t="s">
        <v>21</v>
      </c>
      <c r="L1" s="21" t="s">
        <v>20</v>
      </c>
      <c r="M1" s="24" t="s">
        <v>19</v>
      </c>
      <c r="N1" s="18" t="s">
        <v>18</v>
      </c>
      <c r="O1" s="18" t="s">
        <v>17</v>
      </c>
      <c r="P1" s="15" t="s">
        <v>16</v>
      </c>
      <c r="Q1" s="18" t="s">
        <v>15</v>
      </c>
      <c r="R1" s="15" t="s">
        <v>14</v>
      </c>
      <c r="S1" s="24" t="s">
        <v>12</v>
      </c>
      <c r="T1" s="21" t="s">
        <v>11</v>
      </c>
      <c r="U1" s="24" t="s">
        <v>10</v>
      </c>
      <c r="V1" s="21" t="s">
        <v>9</v>
      </c>
      <c r="W1" s="24" t="s">
        <v>8</v>
      </c>
    </row>
    <row r="2" spans="1:23" x14ac:dyDescent="0.2">
      <c r="A2" s="6" t="s">
        <v>74</v>
      </c>
      <c r="B2" s="19">
        <v>1.3221217409699086E-5</v>
      </c>
      <c r="C2" s="16">
        <v>2.07750477826099E-5</v>
      </c>
      <c r="D2" s="19">
        <v>2.842423165748801E-5</v>
      </c>
      <c r="E2" s="16">
        <v>4.0756716367218015E-5</v>
      </c>
      <c r="F2" s="19">
        <v>0</v>
      </c>
      <c r="G2" s="16">
        <v>0</v>
      </c>
      <c r="H2" s="22">
        <v>1.0442023925287319E-4</v>
      </c>
      <c r="I2" s="25">
        <v>0</v>
      </c>
      <c r="J2" s="22">
        <v>1.3331555792560992E-5</v>
      </c>
      <c r="K2" s="25">
        <v>0</v>
      </c>
      <c r="L2" s="22">
        <v>0</v>
      </c>
      <c r="M2" s="25">
        <v>0</v>
      </c>
      <c r="N2" s="19">
        <v>0</v>
      </c>
      <c r="O2" s="19">
        <v>0</v>
      </c>
      <c r="P2" s="16">
        <v>0</v>
      </c>
      <c r="Q2" s="19">
        <v>0</v>
      </c>
      <c r="R2" s="16">
        <v>4.2845513360659254E-5</v>
      </c>
      <c r="S2" s="25">
        <v>0</v>
      </c>
      <c r="T2" s="22">
        <v>3.1591184795794582E-5</v>
      </c>
      <c r="U2" s="25">
        <v>0</v>
      </c>
      <c r="V2" s="22">
        <v>0</v>
      </c>
      <c r="W2" s="25">
        <v>0</v>
      </c>
    </row>
    <row r="3" spans="1:23" x14ac:dyDescent="0.2">
      <c r="A3" s="6" t="s">
        <v>75</v>
      </c>
      <c r="B3" s="19">
        <v>5.2223808768311387E-4</v>
      </c>
      <c r="C3" s="16">
        <v>2.7700063710146532E-5</v>
      </c>
      <c r="D3" s="19">
        <v>1.0872268608989163E-3</v>
      </c>
      <c r="E3" s="16">
        <v>4.2115273579458612E-4</v>
      </c>
      <c r="F3" s="19">
        <v>4.8826262425902332E-4</v>
      </c>
      <c r="G3" s="16">
        <v>7.3182491304198095E-4</v>
      </c>
      <c r="H3" s="22">
        <v>2.4799806822557382E-4</v>
      </c>
      <c r="I3" s="25">
        <v>3.026478466927674E-4</v>
      </c>
      <c r="J3" s="22">
        <v>4.666044527396347E-5</v>
      </c>
      <c r="K3" s="25">
        <v>1.3405185125606584E-5</v>
      </c>
      <c r="L3" s="22">
        <v>1.7337628802596955E-3</v>
      </c>
      <c r="M3" s="25">
        <v>1.1972065181243767E-3</v>
      </c>
      <c r="N3" s="19">
        <v>4.6018778052031096E-4</v>
      </c>
      <c r="O3" s="19">
        <v>6.3984075074648085E-4</v>
      </c>
      <c r="P3" s="16">
        <v>2.8452813595271657E-4</v>
      </c>
      <c r="Q3" s="19">
        <v>7.2059569243908294E-4</v>
      </c>
      <c r="R3" s="16">
        <v>2.6421399905739867E-4</v>
      </c>
      <c r="S3" s="25">
        <v>7.7286223086682934E-5</v>
      </c>
      <c r="T3" s="22">
        <v>2.4830671249494543E-3</v>
      </c>
      <c r="U3" s="25">
        <v>7.1301247771835994E-4</v>
      </c>
      <c r="V3" s="22">
        <v>3.7809327561109323E-5</v>
      </c>
      <c r="W3" s="25">
        <v>7.4180919019163407E-5</v>
      </c>
    </row>
    <row r="4" spans="1:23" x14ac:dyDescent="0.2">
      <c r="A4" s="6" t="s">
        <v>76</v>
      </c>
      <c r="B4" s="19">
        <v>1.520440002115395E-4</v>
      </c>
      <c r="C4" s="16">
        <v>6.2325143347829697E-5</v>
      </c>
      <c r="D4" s="19">
        <v>5.684846331497602E-5</v>
      </c>
      <c r="E4" s="16">
        <v>6.792786061203002E-5</v>
      </c>
      <c r="F4" s="19">
        <v>9.3075062749376316E-4</v>
      </c>
      <c r="G4" s="16">
        <v>1.6100148086923578E-3</v>
      </c>
      <c r="H4" s="22">
        <v>3.0673445280531497E-4</v>
      </c>
      <c r="I4" s="25">
        <v>1.931794766124047E-5</v>
      </c>
      <c r="J4" s="22">
        <v>7.3323556859085457E-5</v>
      </c>
      <c r="K4" s="25">
        <v>1.3405185125606584E-5</v>
      </c>
      <c r="L4" s="22">
        <v>1.2911000172146668E-4</v>
      </c>
      <c r="M4" s="25">
        <v>2.8599933488526773E-4</v>
      </c>
      <c r="N4" s="19">
        <v>0</v>
      </c>
      <c r="O4" s="19">
        <v>8.6891953805077649E-5</v>
      </c>
      <c r="P4" s="16">
        <v>9.6998228165698841E-5</v>
      </c>
      <c r="Q4" s="19">
        <v>1.0675491739838266E-4</v>
      </c>
      <c r="R4" s="16">
        <v>1.9280481012296663E-4</v>
      </c>
      <c r="S4" s="25">
        <v>0</v>
      </c>
      <c r="T4" s="22">
        <v>0</v>
      </c>
      <c r="U4" s="25">
        <v>7.0028011204481788E-5</v>
      </c>
      <c r="V4" s="22">
        <v>1.197295372768462E-4</v>
      </c>
      <c r="W4" s="25">
        <v>0</v>
      </c>
    </row>
    <row r="5" spans="1:23" x14ac:dyDescent="0.2">
      <c r="A5" s="6" t="s">
        <v>77</v>
      </c>
      <c r="B5" s="19">
        <v>0</v>
      </c>
      <c r="C5" s="16">
        <v>0</v>
      </c>
      <c r="D5" s="19">
        <v>1.4212115828744005E-5</v>
      </c>
      <c r="E5" s="16">
        <v>0</v>
      </c>
      <c r="F5" s="19">
        <v>0</v>
      </c>
      <c r="G5" s="16">
        <v>0</v>
      </c>
      <c r="H5" s="22">
        <v>0</v>
      </c>
      <c r="I5" s="25">
        <v>0</v>
      </c>
      <c r="J5" s="22">
        <v>0</v>
      </c>
      <c r="K5" s="25">
        <v>0</v>
      </c>
      <c r="L5" s="22">
        <v>0</v>
      </c>
      <c r="M5" s="25">
        <v>0</v>
      </c>
      <c r="N5" s="19">
        <v>0</v>
      </c>
      <c r="O5" s="19">
        <v>0</v>
      </c>
      <c r="P5" s="16">
        <v>0</v>
      </c>
      <c r="Q5" s="19">
        <v>0</v>
      </c>
      <c r="R5" s="16">
        <v>0</v>
      </c>
      <c r="S5" s="25">
        <v>0</v>
      </c>
      <c r="T5" s="22">
        <v>0</v>
      </c>
      <c r="U5" s="25">
        <v>0</v>
      </c>
      <c r="V5" s="22">
        <v>0</v>
      </c>
      <c r="W5" s="25">
        <v>0</v>
      </c>
    </row>
    <row r="6" spans="1:23" x14ac:dyDescent="0.2">
      <c r="A6" s="6" t="s">
        <v>78</v>
      </c>
      <c r="B6" s="19">
        <v>0</v>
      </c>
      <c r="C6" s="16">
        <v>0</v>
      </c>
      <c r="D6" s="19">
        <v>0</v>
      </c>
      <c r="E6" s="16">
        <v>0</v>
      </c>
      <c r="F6" s="19">
        <v>0</v>
      </c>
      <c r="G6" s="16">
        <v>0</v>
      </c>
      <c r="H6" s="22">
        <v>0</v>
      </c>
      <c r="I6" s="25">
        <v>0</v>
      </c>
      <c r="J6" s="22">
        <v>0</v>
      </c>
      <c r="K6" s="25">
        <v>0</v>
      </c>
      <c r="L6" s="22">
        <v>0</v>
      </c>
      <c r="M6" s="25">
        <v>0</v>
      </c>
      <c r="N6" s="19">
        <v>0</v>
      </c>
      <c r="O6" s="19">
        <v>0</v>
      </c>
      <c r="P6" s="16">
        <v>0</v>
      </c>
      <c r="Q6" s="19">
        <v>0</v>
      </c>
      <c r="R6" s="16">
        <v>0</v>
      </c>
      <c r="S6" s="25">
        <v>0</v>
      </c>
      <c r="T6" s="22">
        <v>4.4227658714112412E-5</v>
      </c>
      <c r="U6" s="25">
        <v>0</v>
      </c>
      <c r="V6" s="22">
        <v>0</v>
      </c>
      <c r="W6" s="25">
        <v>0</v>
      </c>
    </row>
    <row r="7" spans="1:23" x14ac:dyDescent="0.2">
      <c r="A7" s="6" t="s">
        <v>79</v>
      </c>
      <c r="B7" s="19">
        <v>4.6274260933946797E-5</v>
      </c>
      <c r="C7" s="16">
        <v>0</v>
      </c>
      <c r="D7" s="19">
        <v>3.2687866406111204E-4</v>
      </c>
      <c r="E7" s="16">
        <v>3.396393030601501E-5</v>
      </c>
      <c r="F7" s="19">
        <v>0</v>
      </c>
      <c r="G7" s="16">
        <v>3.4438819437269692E-5</v>
      </c>
      <c r="H7" s="22">
        <v>0</v>
      </c>
      <c r="I7" s="25">
        <v>0</v>
      </c>
      <c r="J7" s="22">
        <v>4.666044527396347E-5</v>
      </c>
      <c r="K7" s="25">
        <v>0</v>
      </c>
      <c r="L7" s="22">
        <v>1.6599857364188572E-4</v>
      </c>
      <c r="M7" s="25">
        <v>1.1306950448952444E-4</v>
      </c>
      <c r="N7" s="19">
        <v>2.2112919323703255E-4</v>
      </c>
      <c r="O7" s="19">
        <v>0</v>
      </c>
      <c r="P7" s="16">
        <v>9.6998228165698841E-5</v>
      </c>
      <c r="Q7" s="19">
        <v>0</v>
      </c>
      <c r="R7" s="16">
        <v>2.8563675573772835E-5</v>
      </c>
      <c r="S7" s="25">
        <v>0</v>
      </c>
      <c r="T7" s="22">
        <v>4.4227658714112412E-5</v>
      </c>
      <c r="U7" s="25">
        <v>1.2732365673542144E-5</v>
      </c>
      <c r="V7" s="22">
        <v>5.6713991341663988E-5</v>
      </c>
      <c r="W7" s="25">
        <v>0</v>
      </c>
    </row>
    <row r="8" spans="1:23" x14ac:dyDescent="0.2">
      <c r="A8" s="6" t="s">
        <v>80</v>
      </c>
      <c r="B8" s="19">
        <v>2.5378126817917394E-2</v>
      </c>
      <c r="C8" s="16">
        <v>1.1163125675189059E-2</v>
      </c>
      <c r="D8" s="19">
        <v>5.3075146562444525E-2</v>
      </c>
      <c r="E8" s="16">
        <v>2.3360391264477125E-2</v>
      </c>
      <c r="F8" s="19">
        <v>3.3934252386002159E-2</v>
      </c>
      <c r="G8" s="16">
        <v>8.4375107621310775E-3</v>
      </c>
      <c r="H8" s="22">
        <v>9.7632923701436412E-3</v>
      </c>
      <c r="I8" s="25">
        <v>5.0226663919225199E-3</v>
      </c>
      <c r="J8" s="22">
        <v>1.8557525663244895E-2</v>
      </c>
      <c r="K8" s="25">
        <v>5.5497466420011314E-3</v>
      </c>
      <c r="L8" s="22">
        <v>2.4162014607874482E-2</v>
      </c>
      <c r="M8" s="25">
        <v>2.3139341536415035E-2</v>
      </c>
      <c r="N8" s="19">
        <v>3.9886925288215025E-2</v>
      </c>
      <c r="O8" s="19">
        <v>1.357094333064757E-2</v>
      </c>
      <c r="P8" s="16">
        <v>2.3997361648193893E-2</v>
      </c>
      <c r="Q8" s="19">
        <v>6.738904160772905E-3</v>
      </c>
      <c r="R8" s="16">
        <v>1.0297205044345102E-2</v>
      </c>
      <c r="S8" s="25">
        <v>3.793465449838019E-3</v>
      </c>
      <c r="T8" s="22">
        <v>1.164451071572987E-2</v>
      </c>
      <c r="U8" s="25">
        <v>6.3916475681181579E-3</v>
      </c>
      <c r="V8" s="22">
        <v>2.4134954093174791E-2</v>
      </c>
      <c r="W8" s="25">
        <v>3.3134143828559654E-3</v>
      </c>
    </row>
    <row r="9" spans="1:23" x14ac:dyDescent="0.2">
      <c r="A9" s="6" t="s">
        <v>81</v>
      </c>
      <c r="B9" s="19">
        <v>4.2374001798085566E-3</v>
      </c>
      <c r="C9" s="16">
        <v>1.149552643971081E-3</v>
      </c>
      <c r="D9" s="19">
        <v>1.8660508083140882E-2</v>
      </c>
      <c r="E9" s="16">
        <v>6.8063716333254115E-3</v>
      </c>
      <c r="F9" s="19">
        <v>1.2839781197311502E-2</v>
      </c>
      <c r="G9" s="16">
        <v>1.8975789509935607E-2</v>
      </c>
      <c r="H9" s="22">
        <v>8.6538273280818631E-3</v>
      </c>
      <c r="I9" s="25">
        <v>2.8332989903152693E-4</v>
      </c>
      <c r="J9" s="22">
        <v>9.8653512864951354E-4</v>
      </c>
      <c r="K9" s="25">
        <v>1.6086222150727902E-4</v>
      </c>
      <c r="L9" s="22">
        <v>4.414332439810144E-3</v>
      </c>
      <c r="M9" s="25">
        <v>4.3964083804456265E-3</v>
      </c>
      <c r="N9" s="19">
        <v>8.211662473180616E-3</v>
      </c>
      <c r="O9" s="19">
        <v>1.5774839249885451E-2</v>
      </c>
      <c r="P9" s="16">
        <v>8.186650457184981E-3</v>
      </c>
      <c r="Q9" s="19">
        <v>1.1155888868130985E-2</v>
      </c>
      <c r="R9" s="16">
        <v>1.0040131964181149E-2</v>
      </c>
      <c r="S9" s="25">
        <v>2.0609659489782115E-4</v>
      </c>
      <c r="T9" s="22">
        <v>8.7760311362717214E-3</v>
      </c>
      <c r="U9" s="25">
        <v>4.4626941685765214E-3</v>
      </c>
      <c r="V9" s="22">
        <v>4.2787555689988736E-3</v>
      </c>
      <c r="W9" s="25">
        <v>4.4508551411498042E-4</v>
      </c>
    </row>
    <row r="10" spans="1:23" x14ac:dyDescent="0.2">
      <c r="A10" s="6" t="s">
        <v>82</v>
      </c>
      <c r="B10" s="19">
        <v>1.3089005235602094E-2</v>
      </c>
      <c r="C10" s="16">
        <v>1.3593806265754411E-2</v>
      </c>
      <c r="D10" s="19">
        <v>1.4290282465802093E-2</v>
      </c>
      <c r="E10" s="16">
        <v>4.809292531331724E-3</v>
      </c>
      <c r="F10" s="19">
        <v>1.1046941873860402E-2</v>
      </c>
      <c r="G10" s="16">
        <v>4.5717532802975504E-3</v>
      </c>
      <c r="H10" s="22">
        <v>2.1275623747772916E-3</v>
      </c>
      <c r="I10" s="25">
        <v>4.2563878013599839E-3</v>
      </c>
      <c r="J10" s="22">
        <v>2.0330622583655516E-3</v>
      </c>
      <c r="K10" s="25">
        <v>8.3112147778760818E-4</v>
      </c>
      <c r="L10" s="22">
        <v>2.089737599291739E-2</v>
      </c>
      <c r="M10" s="25">
        <v>2.4429664117060199E-2</v>
      </c>
      <c r="N10" s="19">
        <v>1.0279519253180972E-2</v>
      </c>
      <c r="O10" s="19">
        <v>2.0538098172109259E-3</v>
      </c>
      <c r="P10" s="16">
        <v>4.235589296568849E-3</v>
      </c>
      <c r="Q10" s="19">
        <v>2.8023165817075446E-3</v>
      </c>
      <c r="R10" s="16">
        <v>3.2991045287707613E-3</v>
      </c>
      <c r="S10" s="25">
        <v>1.1013286789852319E-3</v>
      </c>
      <c r="T10" s="22">
        <v>7.6008390618681762E-3</v>
      </c>
      <c r="U10" s="25">
        <v>4.2844410491469313E-3</v>
      </c>
      <c r="V10" s="22">
        <v>6.3771732486404388E-3</v>
      </c>
      <c r="W10" s="25">
        <v>2.3737894086132286E-3</v>
      </c>
    </row>
    <row r="11" spans="1:23" x14ac:dyDescent="0.2">
      <c r="A11" s="6" t="s">
        <v>83</v>
      </c>
      <c r="B11" s="19">
        <v>0</v>
      </c>
      <c r="C11" s="16">
        <v>0</v>
      </c>
      <c r="D11" s="19">
        <v>0</v>
      </c>
      <c r="E11" s="16">
        <v>0</v>
      </c>
      <c r="F11" s="19">
        <v>0</v>
      </c>
      <c r="G11" s="16">
        <v>0</v>
      </c>
      <c r="H11" s="22">
        <v>0</v>
      </c>
      <c r="I11" s="25">
        <v>0</v>
      </c>
      <c r="J11" s="22">
        <v>0</v>
      </c>
      <c r="K11" s="25">
        <v>0</v>
      </c>
      <c r="L11" s="22">
        <v>1.8444285960209527E-5</v>
      </c>
      <c r="M11" s="25">
        <v>0</v>
      </c>
      <c r="N11" s="19">
        <v>0</v>
      </c>
      <c r="O11" s="19">
        <v>0</v>
      </c>
      <c r="P11" s="16">
        <v>0</v>
      </c>
      <c r="Q11" s="19">
        <v>0</v>
      </c>
      <c r="R11" s="16">
        <v>0</v>
      </c>
      <c r="S11" s="25">
        <v>0</v>
      </c>
      <c r="T11" s="22">
        <v>3.1591184795794582E-5</v>
      </c>
      <c r="U11" s="25">
        <v>0</v>
      </c>
      <c r="V11" s="22">
        <v>0</v>
      </c>
      <c r="W11" s="25">
        <v>0</v>
      </c>
    </row>
    <row r="12" spans="1:23" x14ac:dyDescent="0.2">
      <c r="A12" s="6" t="s">
        <v>84</v>
      </c>
      <c r="B12" s="19">
        <v>3.9663652229097259E-5</v>
      </c>
      <c r="C12" s="16">
        <v>0</v>
      </c>
      <c r="D12" s="19">
        <v>2.842423165748801E-5</v>
      </c>
      <c r="E12" s="16">
        <v>7.4720646673233018E-5</v>
      </c>
      <c r="F12" s="19">
        <v>2.8227682964974786E-4</v>
      </c>
      <c r="G12" s="16">
        <v>0</v>
      </c>
      <c r="H12" s="22">
        <v>2.1536674345905095E-4</v>
      </c>
      <c r="I12" s="25">
        <v>7.0832474757881719E-5</v>
      </c>
      <c r="J12" s="22">
        <v>4.666044527396347E-5</v>
      </c>
      <c r="K12" s="25">
        <v>8.7133703316442799E-5</v>
      </c>
      <c r="L12" s="22">
        <v>1.4755428768167624E-4</v>
      </c>
      <c r="M12" s="25">
        <v>3.4585966079148653E-4</v>
      </c>
      <c r="N12" s="19">
        <v>2.9882323410409807E-5</v>
      </c>
      <c r="O12" s="19">
        <v>0</v>
      </c>
      <c r="P12" s="16">
        <v>5.1732388355039383E-5</v>
      </c>
      <c r="Q12" s="19">
        <v>1.2009928207318049E-4</v>
      </c>
      <c r="R12" s="16">
        <v>4.2845513360659247E-5</v>
      </c>
      <c r="S12" s="25">
        <v>1.8033452053559354E-4</v>
      </c>
      <c r="T12" s="22">
        <v>6.9500606550748073E-5</v>
      </c>
      <c r="U12" s="25">
        <v>0</v>
      </c>
      <c r="V12" s="22">
        <v>1.2603109187036442E-4</v>
      </c>
      <c r="W12" s="25">
        <v>0</v>
      </c>
    </row>
    <row r="13" spans="1:23" x14ac:dyDescent="0.2">
      <c r="A13" s="6" t="s">
        <v>72</v>
      </c>
      <c r="B13" s="19">
        <v>2.9086678301337986E-4</v>
      </c>
      <c r="C13" s="16">
        <v>1.9390044597102573E-4</v>
      </c>
      <c r="D13" s="19">
        <v>9.0246935512524413E-4</v>
      </c>
      <c r="E13" s="16">
        <v>1.2227014910165404E-4</v>
      </c>
      <c r="F13" s="19">
        <v>1.3503513202163613E-3</v>
      </c>
      <c r="G13" s="16">
        <v>1.2053586803044392E-4</v>
      </c>
      <c r="H13" s="22">
        <v>3.5241830747844696E-4</v>
      </c>
      <c r="I13" s="25">
        <v>1.8545229754790848E-3</v>
      </c>
      <c r="J13" s="22">
        <v>1.2198373550193304E-3</v>
      </c>
      <c r="K13" s="25">
        <v>1.3204107348722485E-3</v>
      </c>
      <c r="L13" s="22">
        <v>7.2547524776824131E-4</v>
      </c>
      <c r="M13" s="25">
        <v>4.0571998669770533E-4</v>
      </c>
      <c r="N13" s="19">
        <v>6.0959939757236007E-4</v>
      </c>
      <c r="O13" s="19">
        <v>0</v>
      </c>
      <c r="P13" s="16">
        <v>2.2632919905329728E-4</v>
      </c>
      <c r="Q13" s="19">
        <v>4.4036403426832846E-4</v>
      </c>
      <c r="R13" s="16">
        <v>3.5704594467216044E-4</v>
      </c>
      <c r="S13" s="25">
        <v>1.8677503912615046E-3</v>
      </c>
      <c r="T13" s="22">
        <v>7.0132430246663976E-4</v>
      </c>
      <c r="U13" s="25">
        <v>6.3661828367710712E-4</v>
      </c>
      <c r="V13" s="22">
        <v>5.041243674814577E-4</v>
      </c>
      <c r="W13" s="25">
        <v>1.1621677313002267E-3</v>
      </c>
    </row>
    <row r="14" spans="1:23" x14ac:dyDescent="0.2">
      <c r="A14" s="6" t="s">
        <v>85</v>
      </c>
      <c r="B14" s="19">
        <v>0</v>
      </c>
      <c r="C14" s="16">
        <v>0</v>
      </c>
      <c r="D14" s="19">
        <v>0</v>
      </c>
      <c r="E14" s="16">
        <v>0</v>
      </c>
      <c r="F14" s="19">
        <v>0</v>
      </c>
      <c r="G14" s="16">
        <v>0</v>
      </c>
      <c r="H14" s="22">
        <v>0</v>
      </c>
      <c r="I14" s="25">
        <v>0</v>
      </c>
      <c r="J14" s="22">
        <v>0</v>
      </c>
      <c r="K14" s="25">
        <v>0</v>
      </c>
      <c r="L14" s="22">
        <v>0</v>
      </c>
      <c r="M14" s="25">
        <v>0</v>
      </c>
      <c r="N14" s="19">
        <v>0</v>
      </c>
      <c r="O14" s="19">
        <v>0</v>
      </c>
      <c r="P14" s="16">
        <v>0</v>
      </c>
      <c r="Q14" s="19">
        <v>0</v>
      </c>
      <c r="R14" s="16">
        <v>0</v>
      </c>
      <c r="S14" s="25">
        <v>0</v>
      </c>
      <c r="T14" s="22">
        <v>0</v>
      </c>
      <c r="U14" s="25">
        <v>1.9098548510313215E-5</v>
      </c>
      <c r="V14" s="22">
        <v>0</v>
      </c>
      <c r="W14" s="25">
        <v>0</v>
      </c>
    </row>
    <row r="15" spans="1:23" x14ac:dyDescent="0.2">
      <c r="A15" s="6" t="s">
        <v>86</v>
      </c>
      <c r="B15" s="19">
        <v>1.0576973927759268E-4</v>
      </c>
      <c r="C15" s="16">
        <v>1.2465028669565939E-4</v>
      </c>
      <c r="D15" s="19">
        <v>6.3954521229348018E-5</v>
      </c>
      <c r="E15" s="16">
        <v>2.1736915395849607E-4</v>
      </c>
      <c r="F15" s="19">
        <v>2.2887310512141718E-5</v>
      </c>
      <c r="G15" s="16">
        <v>1.8080380204566588E-4</v>
      </c>
      <c r="H15" s="22">
        <v>3.2631324766522872E-5</v>
      </c>
      <c r="I15" s="25">
        <v>0</v>
      </c>
      <c r="J15" s="22">
        <v>0</v>
      </c>
      <c r="K15" s="25">
        <v>0</v>
      </c>
      <c r="L15" s="22">
        <v>1.7829476428202543E-4</v>
      </c>
      <c r="M15" s="25">
        <v>2.660458929165281E-5</v>
      </c>
      <c r="N15" s="19">
        <v>8.9646970231229412E-5</v>
      </c>
      <c r="O15" s="19">
        <v>0</v>
      </c>
      <c r="P15" s="16">
        <v>2.9746123304147642E-4</v>
      </c>
      <c r="Q15" s="19">
        <v>2.6688729349595664E-5</v>
      </c>
      <c r="R15" s="16">
        <v>1.2139562118853454E-4</v>
      </c>
      <c r="S15" s="25">
        <v>1.9321555771670734E-5</v>
      </c>
      <c r="T15" s="22">
        <v>1.2636473918317833E-4</v>
      </c>
      <c r="U15" s="25">
        <v>5.7295645530939642E-5</v>
      </c>
      <c r="V15" s="22">
        <v>0</v>
      </c>
      <c r="W15" s="25">
        <v>5.7696270348238206E-5</v>
      </c>
    </row>
    <row r="16" spans="1:23" x14ac:dyDescent="0.2">
      <c r="A16" s="6" t="s">
        <v>87</v>
      </c>
      <c r="B16" s="19">
        <v>0</v>
      </c>
      <c r="C16" s="16">
        <v>0</v>
      </c>
      <c r="D16" s="19">
        <v>0</v>
      </c>
      <c r="E16" s="16">
        <v>0</v>
      </c>
      <c r="F16" s="19">
        <v>0</v>
      </c>
      <c r="G16" s="16">
        <v>0</v>
      </c>
      <c r="H16" s="22">
        <v>0</v>
      </c>
      <c r="I16" s="25">
        <v>0</v>
      </c>
      <c r="J16" s="22">
        <v>0</v>
      </c>
      <c r="K16" s="25">
        <v>0</v>
      </c>
      <c r="L16" s="22">
        <v>0</v>
      </c>
      <c r="M16" s="25">
        <v>0</v>
      </c>
      <c r="N16" s="19">
        <v>0</v>
      </c>
      <c r="O16" s="19">
        <v>0</v>
      </c>
      <c r="P16" s="16">
        <v>0</v>
      </c>
      <c r="Q16" s="19">
        <v>0</v>
      </c>
      <c r="R16" s="16">
        <v>0</v>
      </c>
      <c r="S16" s="25">
        <v>0</v>
      </c>
      <c r="T16" s="22">
        <v>0</v>
      </c>
      <c r="U16" s="25">
        <v>0</v>
      </c>
      <c r="V16" s="22">
        <v>0</v>
      </c>
      <c r="W16" s="25">
        <v>1.0715021636101381E-4</v>
      </c>
    </row>
    <row r="17" spans="1:23" x14ac:dyDescent="0.2">
      <c r="A17" s="6" t="s">
        <v>88</v>
      </c>
      <c r="B17" s="19">
        <v>0</v>
      </c>
      <c r="C17" s="16">
        <v>0</v>
      </c>
      <c r="D17" s="19">
        <v>1.4212115828744005E-5</v>
      </c>
      <c r="E17" s="16">
        <v>0</v>
      </c>
      <c r="F17" s="19">
        <v>0</v>
      </c>
      <c r="G17" s="16">
        <v>0</v>
      </c>
      <c r="H17" s="22">
        <v>0</v>
      </c>
      <c r="I17" s="25">
        <v>0</v>
      </c>
      <c r="J17" s="22">
        <v>0</v>
      </c>
      <c r="K17" s="25">
        <v>0</v>
      </c>
      <c r="L17" s="22">
        <v>1.2296190640139685E-5</v>
      </c>
      <c r="M17" s="25">
        <v>0</v>
      </c>
      <c r="N17" s="19">
        <v>0</v>
      </c>
      <c r="O17" s="19">
        <v>0</v>
      </c>
      <c r="P17" s="16">
        <v>0</v>
      </c>
      <c r="Q17" s="19">
        <v>0</v>
      </c>
      <c r="R17" s="16">
        <v>0</v>
      </c>
      <c r="S17" s="25">
        <v>0</v>
      </c>
      <c r="T17" s="22">
        <v>1.8954710877476749E-5</v>
      </c>
      <c r="U17" s="25">
        <v>1.2732365673542144E-5</v>
      </c>
      <c r="V17" s="22">
        <v>0</v>
      </c>
      <c r="W17" s="25">
        <v>0</v>
      </c>
    </row>
    <row r="18" spans="1:23" x14ac:dyDescent="0.2">
      <c r="A18" s="6" t="s">
        <v>89</v>
      </c>
      <c r="B18" s="19">
        <v>2.0162356549791103E-3</v>
      </c>
      <c r="C18" s="16">
        <v>4.4320101936234452E-4</v>
      </c>
      <c r="D18" s="19">
        <v>1.2719843666725884E-3</v>
      </c>
      <c r="E18" s="16">
        <v>7.0644975036511222E-4</v>
      </c>
      <c r="F18" s="19">
        <v>7.4002303989258221E-4</v>
      </c>
      <c r="G18" s="16">
        <v>2.3246203120157042E-4</v>
      </c>
      <c r="H18" s="22">
        <v>1.7686178023455395E-3</v>
      </c>
      <c r="I18" s="25">
        <v>5.8597774572429428E-4</v>
      </c>
      <c r="J18" s="22">
        <v>1.666444474070124E-4</v>
      </c>
      <c r="K18" s="25">
        <v>3.0831925788895145E-4</v>
      </c>
      <c r="L18" s="22">
        <v>1.5493200206576005E-3</v>
      </c>
      <c r="M18" s="25">
        <v>1.0375789823744595E-3</v>
      </c>
      <c r="N18" s="19">
        <v>1.7451276871679328E-3</v>
      </c>
      <c r="O18" s="19">
        <v>4.7395611166405988E-4</v>
      </c>
      <c r="P18" s="16">
        <v>2.9099468449709652E-4</v>
      </c>
      <c r="Q18" s="19">
        <v>3.8698657556913714E-4</v>
      </c>
      <c r="R18" s="16">
        <v>1.2853654008197773E-4</v>
      </c>
      <c r="S18" s="25">
        <v>4.3795526415786997E-4</v>
      </c>
      <c r="T18" s="22">
        <v>1.9144257986251515E-3</v>
      </c>
      <c r="U18" s="25">
        <v>9.5492742551566074E-4</v>
      </c>
      <c r="V18" s="22">
        <v>2.9617306589535639E-4</v>
      </c>
      <c r="W18" s="25">
        <v>2.4726973006387802E-5</v>
      </c>
    </row>
    <row r="19" spans="1:23" x14ac:dyDescent="0.2">
      <c r="A19" s="6" t="s">
        <v>90</v>
      </c>
      <c r="B19" s="19">
        <v>1.7432175154688243E-2</v>
      </c>
      <c r="C19" s="16">
        <v>1.2845904545580458E-2</v>
      </c>
      <c r="D19" s="19">
        <v>2.3982945461005521E-2</v>
      </c>
      <c r="E19" s="16">
        <v>7.2275243691199966E-3</v>
      </c>
      <c r="F19" s="19">
        <v>1.5883793495426349E-2</v>
      </c>
      <c r="G19" s="16">
        <v>1.0564107862382479E-2</v>
      </c>
      <c r="H19" s="22">
        <v>8.9279304561206575E-3</v>
      </c>
      <c r="I19" s="25">
        <v>1.7321759736245612E-2</v>
      </c>
      <c r="J19" s="22">
        <v>1.8570857219037454E-2</v>
      </c>
      <c r="K19" s="25">
        <v>1.1019062173248611E-2</v>
      </c>
      <c r="L19" s="22">
        <v>2.6596660354622128E-2</v>
      </c>
      <c r="M19" s="25">
        <v>2.5194546059195216E-2</v>
      </c>
      <c r="N19" s="19">
        <v>1.1391141684048216E-2</v>
      </c>
      <c r="O19" s="19">
        <v>5.332006256220676E-3</v>
      </c>
      <c r="P19" s="16">
        <v>9.2600975155520439E-3</v>
      </c>
      <c r="Q19" s="19">
        <v>2.0870586351383818E-2</v>
      </c>
      <c r="R19" s="16">
        <v>1.6409831617132487E-2</v>
      </c>
      <c r="S19" s="25">
        <v>1.0349913375024954E-2</v>
      </c>
      <c r="T19" s="22">
        <v>3.8048422968054912E-2</v>
      </c>
      <c r="U19" s="25">
        <v>1.7729819200407441E-2</v>
      </c>
      <c r="V19" s="22">
        <v>9.9627578123523061E-3</v>
      </c>
      <c r="W19" s="25">
        <v>1.9015042241912226E-2</v>
      </c>
    </row>
    <row r="20" spans="1:23" x14ac:dyDescent="0.2">
      <c r="A20" s="6" t="s">
        <v>91</v>
      </c>
      <c r="B20" s="19">
        <v>4.9586175895076468E-2</v>
      </c>
      <c r="C20" s="16">
        <v>0.10841112434558606</v>
      </c>
      <c r="D20" s="19">
        <v>3.5651092556404335E-2</v>
      </c>
      <c r="E20" s="16">
        <v>4.60890534252624E-2</v>
      </c>
      <c r="F20" s="19">
        <v>5.8454191048009946E-2</v>
      </c>
      <c r="G20" s="16">
        <v>3.3018218135482315E-2</v>
      </c>
      <c r="H20" s="22">
        <v>2.173898855945754E-2</v>
      </c>
      <c r="I20" s="25">
        <v>7.5526736039563128E-2</v>
      </c>
      <c r="J20" s="22">
        <v>7.3463538194907391E-2</v>
      </c>
      <c r="K20" s="25">
        <v>6.3031180460602104E-2</v>
      </c>
      <c r="L20" s="22">
        <v>3.4257187123429164E-2</v>
      </c>
      <c r="M20" s="25">
        <v>3.2723644828732974E-2</v>
      </c>
      <c r="N20" s="19">
        <v>6.2531749968623568E-2</v>
      </c>
      <c r="O20" s="19">
        <v>3.5372924467194332E-2</v>
      </c>
      <c r="P20" s="16">
        <v>5.3336092394045589E-2</v>
      </c>
      <c r="Q20" s="19">
        <v>4.595799194000371E-2</v>
      </c>
      <c r="R20" s="16">
        <v>4.762992901926618E-2</v>
      </c>
      <c r="S20" s="25">
        <v>6.7245454604004704E-2</v>
      </c>
      <c r="T20" s="22">
        <v>4.8410331581075515E-2</v>
      </c>
      <c r="U20" s="25">
        <v>3.7808759867583377E-2</v>
      </c>
      <c r="V20" s="22">
        <v>5.0815736242130961E-2</v>
      </c>
      <c r="W20" s="25">
        <v>8.3972800329692981E-2</v>
      </c>
    </row>
    <row r="21" spans="1:23" x14ac:dyDescent="0.2">
      <c r="A21" s="6" t="s">
        <v>26</v>
      </c>
      <c r="B21" s="19">
        <v>0.12521153947855526</v>
      </c>
      <c r="C21" s="16">
        <v>0.13120827677903657</v>
      </c>
      <c r="D21" s="19">
        <v>8.9841890211405206E-2</v>
      </c>
      <c r="E21" s="16">
        <v>0.15996331895526991</v>
      </c>
      <c r="F21" s="19">
        <v>0.10829512423995064</v>
      </c>
      <c r="G21" s="16">
        <v>9.5567723938423471E-2</v>
      </c>
      <c r="H21" s="22">
        <v>0.15847729186109483</v>
      </c>
      <c r="I21" s="25">
        <v>0.12798140325571808</v>
      </c>
      <c r="J21" s="22">
        <v>0.14162778296227191</v>
      </c>
      <c r="K21" s="25">
        <v>0.13442719643958287</v>
      </c>
      <c r="L21" s="22">
        <v>0.14818139340432313</v>
      </c>
      <c r="M21" s="25">
        <v>0.10742933155969416</v>
      </c>
      <c r="N21" s="19">
        <v>0.10739109387233077</v>
      </c>
      <c r="O21" s="19">
        <v>9.7224197039354032E-2</v>
      </c>
      <c r="P21" s="16">
        <v>0.141934274000595</v>
      </c>
      <c r="Q21" s="19">
        <v>9.654647842216231E-2</v>
      </c>
      <c r="R21" s="16">
        <v>0.12088861594710094</v>
      </c>
      <c r="S21" s="25">
        <v>0.13262315881674783</v>
      </c>
      <c r="T21" s="22">
        <v>0.12347098665588406</v>
      </c>
      <c r="U21" s="25">
        <v>9.8287496816908473E-2</v>
      </c>
      <c r="V21" s="22">
        <v>8.9589201656048528E-2</v>
      </c>
      <c r="W21" s="25">
        <v>9.9979394189161255E-2</v>
      </c>
    </row>
    <row r="22" spans="1:23" x14ac:dyDescent="0.2">
      <c r="A22" s="6" t="s">
        <v>92</v>
      </c>
      <c r="B22" s="19">
        <v>0.31066555608440471</v>
      </c>
      <c r="C22" s="16">
        <v>0.32003961109110518</v>
      </c>
      <c r="D22" s="19">
        <v>0.24981346597974741</v>
      </c>
      <c r="E22" s="16">
        <v>0.3043236083279548</v>
      </c>
      <c r="F22" s="19">
        <v>0.20688602882275345</v>
      </c>
      <c r="G22" s="16">
        <v>0.41410958432345002</v>
      </c>
      <c r="H22" s="22">
        <v>0.26313247665228712</v>
      </c>
      <c r="I22" s="25">
        <v>0.23078508139295251</v>
      </c>
      <c r="J22" s="22">
        <v>0.19688708172243705</v>
      </c>
      <c r="K22" s="25">
        <v>0.19186841470280713</v>
      </c>
      <c r="L22" s="22">
        <v>0.21622851240685623</v>
      </c>
      <c r="M22" s="25">
        <v>0.22260724975058194</v>
      </c>
      <c r="N22" s="19">
        <v>0.28290790865571336</v>
      </c>
      <c r="O22" s="19">
        <v>0.30624674155173154</v>
      </c>
      <c r="P22" s="16">
        <v>0.30816337088242479</v>
      </c>
      <c r="Q22" s="19">
        <v>0.32809789425925523</v>
      </c>
      <c r="R22" s="16">
        <v>0.33776546365986482</v>
      </c>
      <c r="S22" s="25">
        <v>0.13317704341553571</v>
      </c>
      <c r="T22" s="22">
        <v>0.24411772139102381</v>
      </c>
      <c r="U22" s="25">
        <v>0.24220779220779234</v>
      </c>
      <c r="V22" s="22">
        <v>0.193646772658815</v>
      </c>
      <c r="W22" s="25">
        <v>0.22546053987224399</v>
      </c>
    </row>
    <row r="23" spans="1:23" x14ac:dyDescent="0.2">
      <c r="A23" s="6" t="s">
        <v>93</v>
      </c>
      <c r="B23" s="19">
        <v>1.3816172193135542E-3</v>
      </c>
      <c r="C23" s="16">
        <v>5.1245117863771077E-4</v>
      </c>
      <c r="D23" s="19">
        <v>2.2597264167702972E-3</v>
      </c>
      <c r="E23" s="16">
        <v>5.2304452671263115E-4</v>
      </c>
      <c r="F23" s="19">
        <v>2.1361489811332268E-3</v>
      </c>
      <c r="G23" s="16">
        <v>1.0762131074146778E-3</v>
      </c>
      <c r="H23" s="22">
        <v>6.5784750729310105E-3</v>
      </c>
      <c r="I23" s="25">
        <v>3.5223057902328456E-3</v>
      </c>
      <c r="J23" s="22">
        <v>5.9792027729636057E-3</v>
      </c>
      <c r="K23" s="25">
        <v>7.2790155232043789E-3</v>
      </c>
      <c r="L23" s="22">
        <v>3.2584905196370167E-3</v>
      </c>
      <c r="M23" s="25">
        <v>3.3455271034253417E-3</v>
      </c>
      <c r="N23" s="19">
        <v>6.8789108490763372E-3</v>
      </c>
      <c r="O23" s="19">
        <v>2.8595352070398283E-3</v>
      </c>
      <c r="P23" s="16">
        <v>4.97924237917254E-4</v>
      </c>
      <c r="Q23" s="19">
        <v>1.7214230430489207E-3</v>
      </c>
      <c r="R23" s="16">
        <v>9.4260129393450342E-4</v>
      </c>
      <c r="S23" s="25">
        <v>7.0974514867937141E-3</v>
      </c>
      <c r="T23" s="22">
        <v>4.2900828952689004E-3</v>
      </c>
      <c r="U23" s="25">
        <v>6.0542398777692907E-3</v>
      </c>
      <c r="V23" s="22">
        <v>4.5056115343655289E-3</v>
      </c>
      <c r="W23" s="25">
        <v>1.0756233257778695E-2</v>
      </c>
    </row>
    <row r="24" spans="1:23" x14ac:dyDescent="0.2">
      <c r="A24" s="6" t="s">
        <v>28</v>
      </c>
      <c r="B24" s="19">
        <v>0</v>
      </c>
      <c r="C24" s="16">
        <v>0</v>
      </c>
      <c r="D24" s="19">
        <v>0</v>
      </c>
      <c r="E24" s="16">
        <v>0</v>
      </c>
      <c r="F24" s="19">
        <v>0</v>
      </c>
      <c r="G24" s="16">
        <v>0</v>
      </c>
      <c r="H24" s="22">
        <v>0</v>
      </c>
      <c r="I24" s="25">
        <v>1.931794766124047E-5</v>
      </c>
      <c r="J24" s="22">
        <v>0</v>
      </c>
      <c r="K24" s="25">
        <v>0</v>
      </c>
      <c r="L24" s="22">
        <v>0</v>
      </c>
      <c r="M24" s="25">
        <v>0</v>
      </c>
      <c r="N24" s="19">
        <v>0</v>
      </c>
      <c r="O24" s="19">
        <v>0</v>
      </c>
      <c r="P24" s="16">
        <v>0</v>
      </c>
      <c r="Q24" s="19">
        <v>0</v>
      </c>
      <c r="R24" s="16">
        <v>0</v>
      </c>
      <c r="S24" s="25">
        <v>0</v>
      </c>
      <c r="T24" s="22">
        <v>0</v>
      </c>
      <c r="U24" s="25">
        <v>0</v>
      </c>
      <c r="V24" s="22">
        <v>0</v>
      </c>
      <c r="W24" s="25">
        <v>0</v>
      </c>
    </row>
    <row r="25" spans="1:23" x14ac:dyDescent="0.2">
      <c r="A25" s="6" t="s">
        <v>94</v>
      </c>
      <c r="B25" s="19">
        <v>1.9831826114548629E-5</v>
      </c>
      <c r="C25" s="16">
        <v>0</v>
      </c>
      <c r="D25" s="19">
        <v>2.7713625866050809E-4</v>
      </c>
      <c r="E25" s="16">
        <v>2.0378358183609007E-5</v>
      </c>
      <c r="F25" s="19">
        <v>3.8145517520236195E-4</v>
      </c>
      <c r="G25" s="16">
        <v>0</v>
      </c>
      <c r="H25" s="22">
        <v>3.1326071775861957E-4</v>
      </c>
      <c r="I25" s="25">
        <v>0</v>
      </c>
      <c r="J25" s="22">
        <v>0</v>
      </c>
      <c r="K25" s="25">
        <v>0</v>
      </c>
      <c r="L25" s="22">
        <v>1.5370238300174607E-4</v>
      </c>
      <c r="M25" s="25">
        <v>1.2637179913535084E-4</v>
      </c>
      <c r="N25" s="19">
        <v>2.2710565791911452E-4</v>
      </c>
      <c r="O25" s="19">
        <v>3.1597074110937326E-5</v>
      </c>
      <c r="P25" s="16">
        <v>1.5519716506511813E-4</v>
      </c>
      <c r="Q25" s="19">
        <v>0</v>
      </c>
      <c r="R25" s="16">
        <v>0</v>
      </c>
      <c r="S25" s="25">
        <v>0</v>
      </c>
      <c r="T25" s="22">
        <v>1.2636473918317832E-5</v>
      </c>
      <c r="U25" s="25">
        <v>0</v>
      </c>
      <c r="V25" s="22">
        <v>6.3015545935182212E-5</v>
      </c>
      <c r="W25" s="25">
        <v>0</v>
      </c>
    </row>
    <row r="26" spans="1:23" x14ac:dyDescent="0.2">
      <c r="A26" s="6" t="s">
        <v>95</v>
      </c>
      <c r="B26" s="19">
        <v>0</v>
      </c>
      <c r="C26" s="16">
        <v>0</v>
      </c>
      <c r="D26" s="19">
        <v>8.5272694972464023E-5</v>
      </c>
      <c r="E26" s="16">
        <v>0</v>
      </c>
      <c r="F26" s="19">
        <v>0</v>
      </c>
      <c r="G26" s="16">
        <v>0</v>
      </c>
      <c r="H26" s="22">
        <v>0</v>
      </c>
      <c r="I26" s="25">
        <v>0</v>
      </c>
      <c r="J26" s="22">
        <v>0</v>
      </c>
      <c r="K26" s="25">
        <v>0</v>
      </c>
      <c r="L26" s="22">
        <v>0</v>
      </c>
      <c r="M26" s="25">
        <v>0</v>
      </c>
      <c r="N26" s="19">
        <v>0</v>
      </c>
      <c r="O26" s="19">
        <v>0</v>
      </c>
      <c r="P26" s="16">
        <v>0</v>
      </c>
      <c r="Q26" s="19">
        <v>1.0675491739838266E-4</v>
      </c>
      <c r="R26" s="16">
        <v>2.8563675573772835E-5</v>
      </c>
      <c r="S26" s="25">
        <v>0</v>
      </c>
      <c r="T26" s="22">
        <v>1.8954710877476749E-5</v>
      </c>
      <c r="U26" s="25">
        <v>0</v>
      </c>
      <c r="V26" s="22">
        <v>0</v>
      </c>
      <c r="W26" s="25">
        <v>0</v>
      </c>
    </row>
    <row r="27" spans="1:23" x14ac:dyDescent="0.2">
      <c r="A27" s="6" t="s">
        <v>96</v>
      </c>
      <c r="B27" s="19">
        <v>2.8200856734888168E-2</v>
      </c>
      <c r="C27" s="16">
        <v>3.6778759591147028E-2</v>
      </c>
      <c r="D27" s="19">
        <v>2.1211582874400416E-2</v>
      </c>
      <c r="E27" s="16">
        <v>4.3059470841965847E-2</v>
      </c>
      <c r="F27" s="19">
        <v>3.6795166200019838E-2</v>
      </c>
      <c r="G27" s="16">
        <v>4.5089024348245355E-2</v>
      </c>
      <c r="H27" s="22">
        <v>1.6544081656627099E-2</v>
      </c>
      <c r="I27" s="25">
        <v>3.6485163816196119E-2</v>
      </c>
      <c r="J27" s="22">
        <v>1.5657912278362895E-2</v>
      </c>
      <c r="K27" s="25">
        <v>2.3539505080565168E-2</v>
      </c>
      <c r="L27" s="22">
        <v>1.9372648353540068E-2</v>
      </c>
      <c r="M27" s="25">
        <v>1.8636514798802788E-2</v>
      </c>
      <c r="N27" s="19">
        <v>4.8989080999025846E-2</v>
      </c>
      <c r="O27" s="19">
        <v>5.8952241022481276E-2</v>
      </c>
      <c r="P27" s="16">
        <v>4.561503343205605E-2</v>
      </c>
      <c r="Q27" s="19">
        <v>3.4975579812645104E-2</v>
      </c>
      <c r="R27" s="16">
        <v>3.7861151973035877E-2</v>
      </c>
      <c r="S27" s="25">
        <v>1.6333155145652329E-2</v>
      </c>
      <c r="T27" s="22">
        <v>3.157854832187617E-2</v>
      </c>
      <c r="U27" s="25">
        <v>3.6834733893557431E-2</v>
      </c>
      <c r="V27" s="22">
        <v>1.4733034639645596E-2</v>
      </c>
      <c r="W27" s="25">
        <v>1.8841953430867513E-2</v>
      </c>
    </row>
    <row r="28" spans="1:23" x14ac:dyDescent="0.2">
      <c r="A28" s="6" t="s">
        <v>97</v>
      </c>
      <c r="B28" s="19">
        <v>1.7385900893754291E-3</v>
      </c>
      <c r="C28" s="16">
        <v>2.7700063710146532E-5</v>
      </c>
      <c r="D28" s="19">
        <v>3.8585894475039982E-3</v>
      </c>
      <c r="E28" s="16">
        <v>6.7927860612030017E-4</v>
      </c>
      <c r="F28" s="19">
        <v>2.6015242948801086E-3</v>
      </c>
      <c r="G28" s="16">
        <v>2.4795949994834178E-3</v>
      </c>
      <c r="H28" s="22">
        <v>3.5437618696443842E-3</v>
      </c>
      <c r="I28" s="25">
        <v>9.0150422419122192E-5</v>
      </c>
      <c r="J28" s="22">
        <v>5.8658845487268377E-4</v>
      </c>
      <c r="K28" s="25">
        <v>5.3620740502426337E-5</v>
      </c>
      <c r="L28" s="22">
        <v>8.4228905884956842E-4</v>
      </c>
      <c r="M28" s="25">
        <v>6.784170269371468E-4</v>
      </c>
      <c r="N28" s="19">
        <v>3.0181146644513903E-3</v>
      </c>
      <c r="O28" s="19">
        <v>2.8674344755675631E-3</v>
      </c>
      <c r="P28" s="16">
        <v>6.1432211171609248E-4</v>
      </c>
      <c r="Q28" s="19">
        <v>1.7080786783741221E-3</v>
      </c>
      <c r="R28" s="16">
        <v>5.6413259258201337E-4</v>
      </c>
      <c r="S28" s="25">
        <v>3.8643111543341474E-5</v>
      </c>
      <c r="T28" s="22">
        <v>1.1815103113627173E-3</v>
      </c>
      <c r="U28" s="25">
        <v>2.9921059332824033E-4</v>
      </c>
      <c r="V28" s="22">
        <v>8.0659898797033223E-4</v>
      </c>
      <c r="W28" s="25">
        <v>1.1539254069647641E-4</v>
      </c>
    </row>
    <row r="29" spans="1:23" x14ac:dyDescent="0.2">
      <c r="A29" s="6" t="s">
        <v>98</v>
      </c>
      <c r="B29" s="19">
        <v>0</v>
      </c>
      <c r="C29" s="16">
        <v>0</v>
      </c>
      <c r="D29" s="19">
        <v>0</v>
      </c>
      <c r="E29" s="16">
        <v>0</v>
      </c>
      <c r="F29" s="19">
        <v>0</v>
      </c>
      <c r="G29" s="16">
        <v>0</v>
      </c>
      <c r="H29" s="22">
        <v>0</v>
      </c>
      <c r="I29" s="25">
        <v>0</v>
      </c>
      <c r="J29" s="22">
        <v>0</v>
      </c>
      <c r="K29" s="25">
        <v>0</v>
      </c>
      <c r="L29" s="22">
        <v>1.2296190640139685E-5</v>
      </c>
      <c r="M29" s="25">
        <v>0</v>
      </c>
      <c r="N29" s="19">
        <v>0</v>
      </c>
      <c r="O29" s="19">
        <v>0</v>
      </c>
      <c r="P29" s="16">
        <v>0</v>
      </c>
      <c r="Q29" s="19">
        <v>0</v>
      </c>
      <c r="R29" s="16">
        <v>0</v>
      </c>
      <c r="S29" s="25">
        <v>0</v>
      </c>
      <c r="T29" s="22">
        <v>0</v>
      </c>
      <c r="U29" s="25">
        <v>0</v>
      </c>
      <c r="V29" s="22">
        <v>0</v>
      </c>
      <c r="W29" s="25">
        <v>0</v>
      </c>
    </row>
    <row r="30" spans="1:23" x14ac:dyDescent="0.2">
      <c r="A30" s="6" t="s">
        <v>99</v>
      </c>
      <c r="B30" s="19">
        <v>5.9495478343645881E-5</v>
      </c>
      <c r="C30" s="16">
        <v>2.7700063710146532E-5</v>
      </c>
      <c r="D30" s="19">
        <v>0</v>
      </c>
      <c r="E30" s="16">
        <v>0</v>
      </c>
      <c r="F30" s="19">
        <v>0</v>
      </c>
      <c r="G30" s="16">
        <v>0</v>
      </c>
      <c r="H30" s="22">
        <v>0</v>
      </c>
      <c r="I30" s="25">
        <v>0</v>
      </c>
      <c r="J30" s="22">
        <v>6.6657778962804959E-6</v>
      </c>
      <c r="K30" s="25">
        <v>0</v>
      </c>
      <c r="L30" s="22">
        <v>7.9925239160907947E-5</v>
      </c>
      <c r="M30" s="25">
        <v>0</v>
      </c>
      <c r="N30" s="19">
        <v>6.5741111502901577E-5</v>
      </c>
      <c r="O30" s="19">
        <v>0</v>
      </c>
      <c r="P30" s="16">
        <v>3.2332742721899616E-5</v>
      </c>
      <c r="Q30" s="19">
        <v>0</v>
      </c>
      <c r="R30" s="16">
        <v>1.1425470229509132E-4</v>
      </c>
      <c r="S30" s="25">
        <v>0</v>
      </c>
      <c r="T30" s="22">
        <v>3.1591184795794582E-5</v>
      </c>
      <c r="U30" s="25">
        <v>0</v>
      </c>
      <c r="V30" s="22">
        <v>0</v>
      </c>
      <c r="W30" s="25">
        <v>2.4726973006387802E-5</v>
      </c>
    </row>
    <row r="31" spans="1:23" x14ac:dyDescent="0.2">
      <c r="A31" s="6" t="s">
        <v>100</v>
      </c>
      <c r="B31" s="19">
        <v>2.6382939341054523E-2</v>
      </c>
      <c r="C31" s="16">
        <v>1.1800227140522427E-2</v>
      </c>
      <c r="D31" s="19">
        <v>4.0689287617694109E-2</v>
      </c>
      <c r="E31" s="16">
        <v>2.4800461909452173E-2</v>
      </c>
      <c r="F31" s="19">
        <v>2.8990593315379513E-2</v>
      </c>
      <c r="G31" s="16">
        <v>3.3405654854151604E-2</v>
      </c>
      <c r="H31" s="22">
        <v>4.2747035444144904E-2</v>
      </c>
      <c r="I31" s="25">
        <v>7.3794560065938569E-3</v>
      </c>
      <c r="J31" s="22">
        <v>1.2391681109185444E-2</v>
      </c>
      <c r="K31" s="25">
        <v>6.380868119788735E-3</v>
      </c>
      <c r="L31" s="22">
        <v>2.4739935567961047E-2</v>
      </c>
      <c r="M31" s="25">
        <v>2.3165946125706681E-2</v>
      </c>
      <c r="N31" s="19">
        <v>1.9148592841390588E-2</v>
      </c>
      <c r="O31" s="19">
        <v>4.9062356825757915E-2</v>
      </c>
      <c r="P31" s="16">
        <v>2.1242611968288048E-2</v>
      </c>
      <c r="Q31" s="19">
        <v>3.0184952894392714E-2</v>
      </c>
      <c r="R31" s="16">
        <v>2.5250289207215174E-2</v>
      </c>
      <c r="S31" s="25">
        <v>6.4984832578719176E-3</v>
      </c>
      <c r="T31" s="22">
        <v>3.3461382935705525E-2</v>
      </c>
      <c r="U31" s="25">
        <v>2.3866819455054721E-2</v>
      </c>
      <c r="V31" s="22">
        <v>1.4575495774807637E-2</v>
      </c>
      <c r="W31" s="25">
        <v>9.239645580053581E-3</v>
      </c>
    </row>
    <row r="32" spans="1:23" x14ac:dyDescent="0.2">
      <c r="A32" s="6" t="s">
        <v>101</v>
      </c>
      <c r="B32" s="19">
        <v>5.9495478343645881E-5</v>
      </c>
      <c r="C32" s="16">
        <v>3.4625079637683168E-5</v>
      </c>
      <c r="D32" s="19">
        <v>1.2080298454432404E-4</v>
      </c>
      <c r="E32" s="16">
        <v>1.0868457697924803E-4</v>
      </c>
      <c r="F32" s="19">
        <v>1.1443655256070859E-4</v>
      </c>
      <c r="G32" s="16">
        <v>1.119261631711265E-4</v>
      </c>
      <c r="H32" s="22">
        <v>9.5283468318246791E-4</v>
      </c>
      <c r="I32" s="25">
        <v>9.6589738306202355E-5</v>
      </c>
      <c r="J32" s="22">
        <v>5.6659112118384212E-4</v>
      </c>
      <c r="K32" s="25">
        <v>2.2788814713531195E-4</v>
      </c>
      <c r="L32" s="22">
        <v>2.3977571748272386E-4</v>
      </c>
      <c r="M32" s="25">
        <v>2.8599933488526773E-4</v>
      </c>
      <c r="N32" s="19">
        <v>2.9882323410409807E-4</v>
      </c>
      <c r="O32" s="19">
        <v>5.0555318577499722E-4</v>
      </c>
      <c r="P32" s="16">
        <v>2.0046300487577761E-4</v>
      </c>
      <c r="Q32" s="19">
        <v>2.0016547012196748E-4</v>
      </c>
      <c r="R32" s="16">
        <v>1.928048101229666E-4</v>
      </c>
      <c r="S32" s="25">
        <v>2.9626385516561796E-4</v>
      </c>
      <c r="T32" s="22">
        <v>2.9063890012131013E-4</v>
      </c>
      <c r="U32" s="25">
        <v>4.0106951871657755E-4</v>
      </c>
      <c r="V32" s="22">
        <v>1.1405813814267978E-3</v>
      </c>
      <c r="W32" s="25">
        <v>3.2969297341850403E-4</v>
      </c>
    </row>
    <row r="33" spans="1:23" x14ac:dyDescent="0.2">
      <c r="A33" s="6" t="s">
        <v>102</v>
      </c>
      <c r="B33" s="19">
        <v>7.8005182717224598E-4</v>
      </c>
      <c r="C33" s="16">
        <v>6.440264812609069E-4</v>
      </c>
      <c r="D33" s="19">
        <v>4.2636347486232012E-4</v>
      </c>
      <c r="E33" s="16">
        <v>2.3774751214210508E-4</v>
      </c>
      <c r="F33" s="19">
        <v>1.5639662183296839E-3</v>
      </c>
      <c r="G33" s="16">
        <v>1.1881392705858041E-3</v>
      </c>
      <c r="H33" s="22">
        <v>4.6989107663792935E-4</v>
      </c>
      <c r="I33" s="25">
        <v>4.1855553266021019E-4</v>
      </c>
      <c r="J33" s="22">
        <v>1.0465271297160378E-3</v>
      </c>
      <c r="K33" s="25">
        <v>5.7642296040108314E-4</v>
      </c>
      <c r="L33" s="22">
        <v>6.3940191328726358E-4</v>
      </c>
      <c r="M33" s="25">
        <v>5.3874293315596942E-4</v>
      </c>
      <c r="N33" s="19">
        <v>5.6178768011570432E-4</v>
      </c>
      <c r="O33" s="19">
        <v>1.3428756497148363E-4</v>
      </c>
      <c r="P33" s="16">
        <v>1.0411143156451677E-3</v>
      </c>
      <c r="Q33" s="19">
        <v>1.1342709973578158E-3</v>
      </c>
      <c r="R33" s="16">
        <v>1.8780616689755636E-3</v>
      </c>
      <c r="S33" s="25">
        <v>9.7251830717409379E-4</v>
      </c>
      <c r="T33" s="22">
        <v>5.7495956328346143E-4</v>
      </c>
      <c r="U33" s="25">
        <v>6.9391392920804687E-4</v>
      </c>
      <c r="V33" s="22">
        <v>1.7455306224045471E-3</v>
      </c>
      <c r="W33" s="25">
        <v>1.1209561096229136E-3</v>
      </c>
    </row>
    <row r="34" spans="1:23" x14ac:dyDescent="0.2">
      <c r="A34" s="6" t="s">
        <v>103</v>
      </c>
      <c r="B34" s="19">
        <v>0</v>
      </c>
      <c r="C34" s="16">
        <v>0</v>
      </c>
      <c r="D34" s="19">
        <v>0</v>
      </c>
      <c r="E34" s="16">
        <v>3.396393030601501E-5</v>
      </c>
      <c r="F34" s="19">
        <v>0</v>
      </c>
      <c r="G34" s="16">
        <v>0</v>
      </c>
      <c r="H34" s="22">
        <v>0</v>
      </c>
      <c r="I34" s="25">
        <v>0</v>
      </c>
      <c r="J34" s="22">
        <v>0</v>
      </c>
      <c r="K34" s="25">
        <v>0</v>
      </c>
      <c r="L34" s="22">
        <v>0</v>
      </c>
      <c r="M34" s="25">
        <v>0</v>
      </c>
      <c r="N34" s="19">
        <v>0</v>
      </c>
      <c r="O34" s="19">
        <v>0</v>
      </c>
      <c r="P34" s="16">
        <v>0</v>
      </c>
      <c r="Q34" s="19">
        <v>0</v>
      </c>
      <c r="R34" s="16">
        <v>0</v>
      </c>
      <c r="S34" s="25">
        <v>0</v>
      </c>
      <c r="T34" s="22">
        <v>0</v>
      </c>
      <c r="U34" s="25">
        <v>0</v>
      </c>
      <c r="V34" s="22">
        <v>0</v>
      </c>
      <c r="W34" s="25">
        <v>0</v>
      </c>
    </row>
    <row r="35" spans="1:23" x14ac:dyDescent="0.2">
      <c r="A35" s="6" t="s">
        <v>104</v>
      </c>
      <c r="B35" s="19">
        <v>7.4699878364799818E-4</v>
      </c>
      <c r="C35" s="16">
        <v>4.2935098750727121E-4</v>
      </c>
      <c r="D35" s="19">
        <v>6.1112098063599205E-4</v>
      </c>
      <c r="E35" s="16">
        <v>5.5700845701864613E-4</v>
      </c>
      <c r="F35" s="19">
        <v>1.9530504970360931E-3</v>
      </c>
      <c r="G35" s="16">
        <v>7.146055033233461E-4</v>
      </c>
      <c r="H35" s="22">
        <v>3.7199710233836076E-4</v>
      </c>
      <c r="I35" s="25">
        <v>3.8635895322480942E-4</v>
      </c>
      <c r="J35" s="22">
        <v>1.3998133582189041E-4</v>
      </c>
      <c r="K35" s="25">
        <v>1.0724148100485267E-4</v>
      </c>
      <c r="L35" s="22">
        <v>7.4391953372845098E-4</v>
      </c>
      <c r="M35" s="25">
        <v>1.2836714333222482E-3</v>
      </c>
      <c r="N35" s="19">
        <v>1.7032924343933587E-3</v>
      </c>
      <c r="O35" s="19">
        <v>1.2638829644374931E-4</v>
      </c>
      <c r="P35" s="16">
        <v>5.3672352918353371E-4</v>
      </c>
      <c r="Q35" s="19">
        <v>1.227681550081401E-3</v>
      </c>
      <c r="R35" s="16">
        <v>9.6402405061483281E-4</v>
      </c>
      <c r="S35" s="25">
        <v>1.0304829744891059E-4</v>
      </c>
      <c r="T35" s="22">
        <v>3.835169834209463E-3</v>
      </c>
      <c r="U35" s="25">
        <v>3.8197097020626432E-4</v>
      </c>
      <c r="V35" s="22">
        <v>5.3563214044904874E-4</v>
      </c>
      <c r="W35" s="25">
        <v>1.23634865031939E-4</v>
      </c>
    </row>
    <row r="36" spans="1:23" x14ac:dyDescent="0.2">
      <c r="A36" s="6" t="s">
        <v>105</v>
      </c>
      <c r="B36" s="19">
        <v>3.9002591358612299E-4</v>
      </c>
      <c r="C36" s="16">
        <v>0</v>
      </c>
      <c r="D36" s="19">
        <v>0</v>
      </c>
      <c r="E36" s="16">
        <v>0</v>
      </c>
      <c r="F36" s="19">
        <v>3.0516414016188958E-5</v>
      </c>
      <c r="G36" s="16">
        <v>8.0070255191652033E-4</v>
      </c>
      <c r="H36" s="22">
        <v>0</v>
      </c>
      <c r="I36" s="25">
        <v>0</v>
      </c>
      <c r="J36" s="22">
        <v>0</v>
      </c>
      <c r="K36" s="25">
        <v>0</v>
      </c>
      <c r="L36" s="22">
        <v>0</v>
      </c>
      <c r="M36" s="25">
        <v>0</v>
      </c>
      <c r="N36" s="19">
        <v>0</v>
      </c>
      <c r="O36" s="19">
        <v>0</v>
      </c>
      <c r="P36" s="16">
        <v>0</v>
      </c>
      <c r="Q36" s="19">
        <v>0</v>
      </c>
      <c r="R36" s="16">
        <v>0</v>
      </c>
      <c r="S36" s="25">
        <v>0</v>
      </c>
      <c r="T36" s="22">
        <v>0</v>
      </c>
      <c r="U36" s="25">
        <v>0</v>
      </c>
      <c r="V36" s="22">
        <v>0</v>
      </c>
      <c r="W36" s="25">
        <v>0</v>
      </c>
    </row>
    <row r="37" spans="1:23" x14ac:dyDescent="0.2">
      <c r="A37" s="6" t="s">
        <v>34</v>
      </c>
      <c r="B37" s="19">
        <v>0</v>
      </c>
      <c r="C37" s="16">
        <v>0</v>
      </c>
      <c r="D37" s="19">
        <v>5.8980280689287625E-4</v>
      </c>
      <c r="E37" s="16">
        <v>6.792786061203002E-5</v>
      </c>
      <c r="F37" s="19">
        <v>1.7165482884106287E-3</v>
      </c>
      <c r="G37" s="16">
        <v>1.6014051038330404E-3</v>
      </c>
      <c r="H37" s="22">
        <v>6.9831035000358953E-4</v>
      </c>
      <c r="I37" s="25">
        <v>0</v>
      </c>
      <c r="J37" s="22">
        <v>1.9997333688841486E-4</v>
      </c>
      <c r="K37" s="25">
        <v>5.3620740502426337E-5</v>
      </c>
      <c r="L37" s="22">
        <v>7.5621572436859079E-4</v>
      </c>
      <c r="M37" s="25">
        <v>8.3139341536415045E-4</v>
      </c>
      <c r="N37" s="19">
        <v>0</v>
      </c>
      <c r="O37" s="19">
        <v>0</v>
      </c>
      <c r="P37" s="16">
        <v>3.2332742721899616E-5</v>
      </c>
      <c r="Q37" s="19">
        <v>3.8698657556913714E-4</v>
      </c>
      <c r="R37" s="16">
        <v>0</v>
      </c>
      <c r="S37" s="25">
        <v>1.7389400194503659E-4</v>
      </c>
      <c r="T37" s="22">
        <v>4.0752628386574999E-3</v>
      </c>
      <c r="U37" s="25">
        <v>8.021390374331551E-4</v>
      </c>
      <c r="V37" s="22">
        <v>3.5918861183053858E-4</v>
      </c>
      <c r="W37" s="25">
        <v>2.4726973006387802E-5</v>
      </c>
    </row>
    <row r="38" spans="1:23" x14ac:dyDescent="0.2">
      <c r="A38" s="6" t="s">
        <v>106</v>
      </c>
      <c r="B38" s="19">
        <v>1.9831826114548629E-5</v>
      </c>
      <c r="C38" s="16">
        <v>0</v>
      </c>
      <c r="D38" s="19">
        <v>0</v>
      </c>
      <c r="E38" s="16">
        <v>3.396393030601501E-5</v>
      </c>
      <c r="F38" s="19">
        <v>1.0680744905666136E-4</v>
      </c>
      <c r="G38" s="16">
        <v>1.2053586803044392E-4</v>
      </c>
      <c r="H38" s="22">
        <v>2.8062939299209667E-4</v>
      </c>
      <c r="I38" s="25">
        <v>1.931794766124047E-5</v>
      </c>
      <c r="J38" s="22">
        <v>9.332089054792694E-5</v>
      </c>
      <c r="K38" s="25">
        <v>2.0107777688409878E-5</v>
      </c>
      <c r="L38" s="22">
        <v>2.459238128027937E-5</v>
      </c>
      <c r="M38" s="25">
        <v>7.3162620552045231E-5</v>
      </c>
      <c r="N38" s="19">
        <v>6.2752879161860587E-4</v>
      </c>
      <c r="O38" s="19">
        <v>3.8706415785898224E-4</v>
      </c>
      <c r="P38" s="16">
        <v>0</v>
      </c>
      <c r="Q38" s="19">
        <v>0</v>
      </c>
      <c r="R38" s="16">
        <v>0</v>
      </c>
      <c r="S38" s="25">
        <v>0</v>
      </c>
      <c r="T38" s="22">
        <v>1.5163768701981399E-4</v>
      </c>
      <c r="U38" s="25">
        <v>1.3368983957219252E-4</v>
      </c>
      <c r="V38" s="22">
        <v>1.0712642808980975E-4</v>
      </c>
      <c r="W38" s="25">
        <v>6.5938594683700807E-5</v>
      </c>
    </row>
    <row r="39" spans="1:23" x14ac:dyDescent="0.2">
      <c r="A39" s="6" t="s">
        <v>107</v>
      </c>
      <c r="B39" s="19">
        <v>2.7103495689883124E-4</v>
      </c>
      <c r="C39" s="16">
        <v>2.5622558931885544E-4</v>
      </c>
      <c r="D39" s="19">
        <v>5.2584828566352808E-4</v>
      </c>
      <c r="E39" s="16">
        <v>4.5511666610060115E-4</v>
      </c>
      <c r="F39" s="19">
        <v>2.8990593315379506E-3</v>
      </c>
      <c r="G39" s="16">
        <v>3.0994937493542722E-4</v>
      </c>
      <c r="H39" s="22">
        <v>5.5473252103088884E-4</v>
      </c>
      <c r="I39" s="25">
        <v>6.5037090459509582E-4</v>
      </c>
      <c r="J39" s="22">
        <v>4.3327556325823216E-4</v>
      </c>
      <c r="K39" s="25">
        <v>2.0107777688409877E-4</v>
      </c>
      <c r="L39" s="22">
        <v>6.8858667584782251E-4</v>
      </c>
      <c r="M39" s="25">
        <v>1.4832058530096441E-3</v>
      </c>
      <c r="N39" s="19">
        <v>5.0799949797696671E-4</v>
      </c>
      <c r="O39" s="19">
        <v>8.0572538982890177E-4</v>
      </c>
      <c r="P39" s="16">
        <v>6.0785556317171263E-4</v>
      </c>
      <c r="Q39" s="19">
        <v>7.7397315113827427E-4</v>
      </c>
      <c r="R39" s="16">
        <v>2.7849583684428513E-4</v>
      </c>
      <c r="S39" s="25">
        <v>4.5727681992954072E-4</v>
      </c>
      <c r="T39" s="22">
        <v>9.4773554387383746E-5</v>
      </c>
      <c r="U39" s="25">
        <v>2.482811306340718E-4</v>
      </c>
      <c r="V39" s="22">
        <v>9.2002697065366042E-4</v>
      </c>
      <c r="W39" s="25">
        <v>0</v>
      </c>
    </row>
    <row r="40" spans="1:23" x14ac:dyDescent="0.2">
      <c r="A40" s="6" t="s">
        <v>108</v>
      </c>
      <c r="B40" s="19">
        <v>1.2718811148130527E-2</v>
      </c>
      <c r="C40" s="16">
        <v>4.7782609900002783E-3</v>
      </c>
      <c r="D40" s="19">
        <v>8.5699058447326303E-3</v>
      </c>
      <c r="E40" s="16">
        <v>1.150018680161669E-2</v>
      </c>
      <c r="F40" s="19">
        <v>2.4962426665242576E-2</v>
      </c>
      <c r="G40" s="16">
        <v>2.174811447463583E-2</v>
      </c>
      <c r="H40" s="22">
        <v>2.0923205440294485E-2</v>
      </c>
      <c r="I40" s="25">
        <v>1.4868380383268077E-2</v>
      </c>
      <c r="J40" s="22">
        <v>1.2085055325956537E-2</v>
      </c>
      <c r="K40" s="25">
        <v>6.3272473792863109E-3</v>
      </c>
      <c r="L40" s="22">
        <v>9.0192558345424563E-3</v>
      </c>
      <c r="M40" s="25">
        <v>8.8061190555370778E-3</v>
      </c>
      <c r="N40" s="19">
        <v>2.5113104594108412E-2</v>
      </c>
      <c r="O40" s="19">
        <v>2.8405769625732644E-2</v>
      </c>
      <c r="P40" s="16">
        <v>1.5571448894866852E-2</v>
      </c>
      <c r="Q40" s="19">
        <v>1.7801382476180305E-2</v>
      </c>
      <c r="R40" s="16">
        <v>1.3503477627501101E-2</v>
      </c>
      <c r="S40" s="25">
        <v>6.2344219956590868E-3</v>
      </c>
      <c r="T40" s="22">
        <v>1.0886322280630788E-2</v>
      </c>
      <c r="U40" s="25">
        <v>1.2051184110007636E-2</v>
      </c>
      <c r="V40" s="22">
        <v>1.0800864573290226E-2</v>
      </c>
      <c r="W40" s="25">
        <v>7.4263342262518061E-3</v>
      </c>
    </row>
    <row r="41" spans="1:23" x14ac:dyDescent="0.2">
      <c r="A41" s="6" t="s">
        <v>109</v>
      </c>
      <c r="B41" s="19">
        <v>0</v>
      </c>
      <c r="C41" s="16">
        <v>1.3850031855073266E-5</v>
      </c>
      <c r="D41" s="19">
        <v>2.1318173743116006E-5</v>
      </c>
      <c r="E41" s="16">
        <v>0</v>
      </c>
      <c r="F41" s="19">
        <v>4.5774621024283436E-5</v>
      </c>
      <c r="G41" s="16">
        <v>0</v>
      </c>
      <c r="H41" s="22">
        <v>0</v>
      </c>
      <c r="I41" s="25">
        <v>2.5757263548320626E-5</v>
      </c>
      <c r="J41" s="22">
        <v>0</v>
      </c>
      <c r="K41" s="25">
        <v>0</v>
      </c>
      <c r="L41" s="22">
        <v>0</v>
      </c>
      <c r="M41" s="25">
        <v>0</v>
      </c>
      <c r="N41" s="19">
        <v>0</v>
      </c>
      <c r="O41" s="19">
        <v>0</v>
      </c>
      <c r="P41" s="16">
        <v>0</v>
      </c>
      <c r="Q41" s="19">
        <v>0</v>
      </c>
      <c r="R41" s="16">
        <v>0</v>
      </c>
      <c r="S41" s="25">
        <v>0</v>
      </c>
      <c r="T41" s="22">
        <v>0</v>
      </c>
      <c r="U41" s="25">
        <v>0</v>
      </c>
      <c r="V41" s="22">
        <v>0</v>
      </c>
      <c r="W41" s="25">
        <v>0</v>
      </c>
    </row>
    <row r="42" spans="1:23" x14ac:dyDescent="0.2">
      <c r="A42" s="6" t="s">
        <v>110</v>
      </c>
      <c r="B42" s="19">
        <v>2.7764556560368078E-4</v>
      </c>
      <c r="C42" s="16">
        <v>0</v>
      </c>
      <c r="D42" s="19">
        <v>7.1771184935157236E-4</v>
      </c>
      <c r="E42" s="16">
        <v>1.7661243759127806E-4</v>
      </c>
      <c r="F42" s="19">
        <v>2.4413131212951166E-4</v>
      </c>
      <c r="G42" s="16">
        <v>7.7487343733856806E-5</v>
      </c>
      <c r="H42" s="22">
        <v>5.2862746121767055E-4</v>
      </c>
      <c r="I42" s="25">
        <v>0</v>
      </c>
      <c r="J42" s="22">
        <v>0</v>
      </c>
      <c r="K42" s="25">
        <v>0</v>
      </c>
      <c r="L42" s="22">
        <v>2.8281238472321272E-4</v>
      </c>
      <c r="M42" s="25">
        <v>4.1237113402061858E-4</v>
      </c>
      <c r="N42" s="19">
        <v>5.3788182138737653E-5</v>
      </c>
      <c r="O42" s="19">
        <v>1.0979983253550723E-3</v>
      </c>
      <c r="P42" s="16">
        <v>1.8752990778701776E-4</v>
      </c>
      <c r="Q42" s="19">
        <v>3.4695348154474364E-4</v>
      </c>
      <c r="R42" s="16">
        <v>1.7852297233608022E-4</v>
      </c>
      <c r="S42" s="25">
        <v>3.2202592952784557E-5</v>
      </c>
      <c r="T42" s="22">
        <v>1.6237868985038411E-3</v>
      </c>
      <c r="U42" s="25">
        <v>2.5464731347084288E-5</v>
      </c>
      <c r="V42" s="22">
        <v>1.2603109187036441E-5</v>
      </c>
      <c r="W42" s="25">
        <v>3.2969297341850403E-5</v>
      </c>
    </row>
    <row r="43" spans="1:23" x14ac:dyDescent="0.2">
      <c r="A43" s="6" t="s">
        <v>111</v>
      </c>
      <c r="B43" s="19">
        <v>1.201147601671162E-2</v>
      </c>
      <c r="C43" s="16">
        <v>2.3856679870363707E-2</v>
      </c>
      <c r="D43" s="19">
        <v>1.5185645763012972E-2</v>
      </c>
      <c r="E43" s="16">
        <v>1.3796148490303297E-2</v>
      </c>
      <c r="F43" s="19">
        <v>1.7531679852300554E-2</v>
      </c>
      <c r="G43" s="16">
        <v>8.8077280710817246E-3</v>
      </c>
      <c r="H43" s="22">
        <v>1.6315662383261436E-4</v>
      </c>
      <c r="I43" s="25">
        <v>2.672316093138265E-3</v>
      </c>
      <c r="J43" s="22">
        <v>4.2927609652046398E-3</v>
      </c>
      <c r="K43" s="25">
        <v>4.5778707203946497E-3</v>
      </c>
      <c r="L43" s="22">
        <v>1.5370238300174608E-3</v>
      </c>
      <c r="M43" s="25">
        <v>2.1882274692384437E-3</v>
      </c>
      <c r="N43" s="19">
        <v>1.8001111622430864E-2</v>
      </c>
      <c r="O43" s="19">
        <v>6.1535301831050432E-3</v>
      </c>
      <c r="P43" s="16">
        <v>1.1200062078866023E-2</v>
      </c>
      <c r="Q43" s="19">
        <v>3.4415116496303612E-2</v>
      </c>
      <c r="R43" s="16">
        <v>2.3207986403690421E-2</v>
      </c>
      <c r="S43" s="25">
        <v>1.0710582416096142E-2</v>
      </c>
      <c r="T43" s="22">
        <v>2.7042054185200158E-3</v>
      </c>
      <c r="U43" s="25">
        <v>1.8461930226636109E-3</v>
      </c>
      <c r="V43" s="22">
        <v>4.2976602327794268E-3</v>
      </c>
      <c r="W43" s="25">
        <v>1.2470636719554916E-2</v>
      </c>
    </row>
    <row r="44" spans="1:23" x14ac:dyDescent="0.2">
      <c r="A44" s="6" t="s">
        <v>112</v>
      </c>
      <c r="B44" s="19">
        <v>0</v>
      </c>
      <c r="C44" s="16">
        <v>0</v>
      </c>
      <c r="D44" s="19">
        <v>1.4212115828744005E-5</v>
      </c>
      <c r="E44" s="16">
        <v>8.8306218795639028E-5</v>
      </c>
      <c r="F44" s="19">
        <v>0</v>
      </c>
      <c r="G44" s="16">
        <v>0</v>
      </c>
      <c r="H44" s="22">
        <v>1.4357782897270064E-4</v>
      </c>
      <c r="I44" s="25">
        <v>0</v>
      </c>
      <c r="J44" s="22">
        <v>6.6657778962804954E-5</v>
      </c>
      <c r="K44" s="25">
        <v>1.3405185125606584E-5</v>
      </c>
      <c r="L44" s="22">
        <v>1.2296190640139685E-5</v>
      </c>
      <c r="M44" s="25">
        <v>0</v>
      </c>
      <c r="N44" s="19">
        <v>2.2112919323703255E-4</v>
      </c>
      <c r="O44" s="19">
        <v>0</v>
      </c>
      <c r="P44" s="16">
        <v>4.5265839810659458E-5</v>
      </c>
      <c r="Q44" s="19">
        <v>0</v>
      </c>
      <c r="R44" s="16">
        <v>1.2139562118853456E-4</v>
      </c>
      <c r="S44" s="25">
        <v>7.0845704496126031E-5</v>
      </c>
      <c r="T44" s="22">
        <v>1.2004650222401941E-4</v>
      </c>
      <c r="U44" s="25">
        <v>1.9735166793990322E-4</v>
      </c>
      <c r="V44" s="22">
        <v>7.5618655122218647E-5</v>
      </c>
      <c r="W44" s="25">
        <v>3.6266227076035444E-4</v>
      </c>
    </row>
    <row r="45" spans="1:23" x14ac:dyDescent="0.2">
      <c r="A45" s="6" t="s">
        <v>113</v>
      </c>
      <c r="B45" s="19">
        <v>3.8738167010418399E-2</v>
      </c>
      <c r="C45" s="16">
        <v>2.4812332068363724E-2</v>
      </c>
      <c r="D45" s="19">
        <v>4.4213892343222642E-2</v>
      </c>
      <c r="E45" s="16">
        <v>2.6097884047141934E-2</v>
      </c>
      <c r="F45" s="19">
        <v>5.0893749475499163E-2</v>
      </c>
      <c r="G45" s="16">
        <v>3.23552708613149E-2</v>
      </c>
      <c r="H45" s="22">
        <v>6.4812337251267865E-2</v>
      </c>
      <c r="I45" s="25">
        <v>4.4598701833917107E-2</v>
      </c>
      <c r="J45" s="22">
        <v>3.9274763364884634E-2</v>
      </c>
      <c r="K45" s="25">
        <v>5.4264189388455467E-2</v>
      </c>
      <c r="L45" s="22">
        <v>5.2676880702358299E-2</v>
      </c>
      <c r="M45" s="25">
        <v>4.4556035916195495E-2</v>
      </c>
      <c r="N45" s="19">
        <v>3.948052568983345E-2</v>
      </c>
      <c r="O45" s="19">
        <v>5.9481492013839496E-2</v>
      </c>
      <c r="P45" s="16">
        <v>2.2652319550962922E-2</v>
      </c>
      <c r="Q45" s="19">
        <v>3.0892204222156987E-2</v>
      </c>
      <c r="R45" s="16">
        <v>2.9841900055699155E-2</v>
      </c>
      <c r="S45" s="25">
        <v>5.9768012520368119E-2</v>
      </c>
      <c r="T45" s="22">
        <v>5.580898706025042E-2</v>
      </c>
      <c r="U45" s="25">
        <v>7.0346320346320365E-2</v>
      </c>
      <c r="V45" s="22">
        <v>4.0411869608232308E-2</v>
      </c>
      <c r="W45" s="25">
        <v>4.2563362868328868E-2</v>
      </c>
    </row>
    <row r="46" spans="1:23" x14ac:dyDescent="0.2">
      <c r="A46" s="6" t="s">
        <v>114</v>
      </c>
      <c r="B46" s="19">
        <v>4.8521867893595643E-3</v>
      </c>
      <c r="C46" s="16">
        <v>6.2325143347829689E-4</v>
      </c>
      <c r="D46" s="19">
        <v>3.4748623201279086E-3</v>
      </c>
      <c r="E46" s="16">
        <v>1.4536562170974425E-3</v>
      </c>
      <c r="F46" s="19">
        <v>2.9600921595703288E-3</v>
      </c>
      <c r="G46" s="16">
        <v>1.1967489754451217E-3</v>
      </c>
      <c r="H46" s="22">
        <v>3.1717647673060231E-3</v>
      </c>
      <c r="I46" s="25">
        <v>1.4424067587059549E-3</v>
      </c>
      <c r="J46" s="22">
        <v>1.7864284762031724E-3</v>
      </c>
      <c r="K46" s="25">
        <v>1.3070055497466416E-3</v>
      </c>
      <c r="L46" s="22">
        <v>5.8529867447064893E-3</v>
      </c>
      <c r="M46" s="25">
        <v>4.9285001662786841E-3</v>
      </c>
      <c r="N46" s="19">
        <v>4.5719954817927001E-3</v>
      </c>
      <c r="O46" s="19">
        <v>1.6509471222964753E-3</v>
      </c>
      <c r="P46" s="16">
        <v>1.5907709419174614E-3</v>
      </c>
      <c r="Q46" s="19">
        <v>3.2560249806506711E-3</v>
      </c>
      <c r="R46" s="16">
        <v>2.1065710735657466E-3</v>
      </c>
      <c r="S46" s="25">
        <v>1.5843675732770005E-3</v>
      </c>
      <c r="T46" s="22">
        <v>6.9058329963606951E-3</v>
      </c>
      <c r="U46" s="25">
        <v>3.3995416348357528E-3</v>
      </c>
      <c r="V46" s="22">
        <v>2.6340498200906159E-3</v>
      </c>
      <c r="W46" s="25">
        <v>8.7368637955903571E-4</v>
      </c>
    </row>
    <row r="47" spans="1:23" x14ac:dyDescent="0.2">
      <c r="A47" s="6" t="s">
        <v>36</v>
      </c>
      <c r="B47" s="19">
        <v>2.3137130466973399E-4</v>
      </c>
      <c r="C47" s="16">
        <v>9.2795213428990874E-4</v>
      </c>
      <c r="D47" s="19">
        <v>4.6899982234855221E-4</v>
      </c>
      <c r="E47" s="16">
        <v>5.7059402914105221E-4</v>
      </c>
      <c r="F47" s="19">
        <v>1.2435438711597001E-3</v>
      </c>
      <c r="G47" s="16">
        <v>3.2716878465406207E-4</v>
      </c>
      <c r="H47" s="22">
        <v>2.0884047850574638E-4</v>
      </c>
      <c r="I47" s="25">
        <v>7.7271790644961881E-5</v>
      </c>
      <c r="J47" s="22">
        <v>2.6663111585121981E-4</v>
      </c>
      <c r="K47" s="25">
        <v>2.4799592482372177E-4</v>
      </c>
      <c r="L47" s="22">
        <v>6.1480953200698427E-5</v>
      </c>
      <c r="M47" s="25">
        <v>2.3279015630196209E-4</v>
      </c>
      <c r="N47" s="19">
        <v>9.5025788445103187E-4</v>
      </c>
      <c r="O47" s="19">
        <v>3.5546708374804495E-4</v>
      </c>
      <c r="P47" s="16">
        <v>7.7598582532559051E-4</v>
      </c>
      <c r="Q47" s="19">
        <v>2.5354292882115881E-4</v>
      </c>
      <c r="R47" s="16">
        <v>6.4268270040988861E-4</v>
      </c>
      <c r="S47" s="25">
        <v>3.2202592952784557E-4</v>
      </c>
      <c r="T47" s="22">
        <v>3.3486655883542256E-4</v>
      </c>
      <c r="U47" s="25">
        <v>3.3740769034886685E-4</v>
      </c>
      <c r="V47" s="22">
        <v>2.2055441077313773E-4</v>
      </c>
      <c r="W47" s="25">
        <v>5.1102410879868122E-4</v>
      </c>
    </row>
    <row r="48" spans="1:23" x14ac:dyDescent="0.2">
      <c r="A48" s="6" t="s">
        <v>115</v>
      </c>
      <c r="B48" s="19">
        <v>0</v>
      </c>
      <c r="C48" s="16">
        <v>0</v>
      </c>
      <c r="D48" s="19">
        <v>0</v>
      </c>
      <c r="E48" s="16">
        <v>0</v>
      </c>
      <c r="F48" s="19">
        <v>0</v>
      </c>
      <c r="G48" s="16">
        <v>0</v>
      </c>
      <c r="H48" s="22">
        <v>0</v>
      </c>
      <c r="I48" s="25">
        <v>0</v>
      </c>
      <c r="J48" s="22">
        <v>0</v>
      </c>
      <c r="K48" s="25">
        <v>4.6918147939623043E-5</v>
      </c>
      <c r="L48" s="22">
        <v>0</v>
      </c>
      <c r="M48" s="25">
        <v>0</v>
      </c>
      <c r="N48" s="19">
        <v>0</v>
      </c>
      <c r="O48" s="19">
        <v>0</v>
      </c>
      <c r="P48" s="16">
        <v>0</v>
      </c>
      <c r="Q48" s="19">
        <v>0</v>
      </c>
      <c r="R48" s="16">
        <v>0</v>
      </c>
      <c r="S48" s="25">
        <v>0</v>
      </c>
      <c r="T48" s="22">
        <v>1.8954710877476749E-5</v>
      </c>
      <c r="U48" s="25">
        <v>0</v>
      </c>
      <c r="V48" s="22">
        <v>0</v>
      </c>
      <c r="W48" s="25">
        <v>0</v>
      </c>
    </row>
    <row r="49" spans="1:23" x14ac:dyDescent="0.2">
      <c r="A49" s="6" t="s">
        <v>116</v>
      </c>
      <c r="B49" s="19">
        <v>0</v>
      </c>
      <c r="C49" s="16">
        <v>0</v>
      </c>
      <c r="D49" s="19">
        <v>0</v>
      </c>
      <c r="E49" s="16">
        <v>0</v>
      </c>
      <c r="F49" s="19">
        <v>0</v>
      </c>
      <c r="G49" s="16">
        <v>0</v>
      </c>
      <c r="H49" s="22">
        <v>0</v>
      </c>
      <c r="I49" s="25">
        <v>1.2878631774160313E-5</v>
      </c>
      <c r="J49" s="22">
        <v>0</v>
      </c>
      <c r="K49" s="25">
        <v>0</v>
      </c>
      <c r="L49" s="22">
        <v>0</v>
      </c>
      <c r="M49" s="25">
        <v>0</v>
      </c>
      <c r="N49" s="19">
        <v>0</v>
      </c>
      <c r="O49" s="19">
        <v>1.5798537055468663E-5</v>
      </c>
      <c r="P49" s="16">
        <v>0</v>
      </c>
      <c r="Q49" s="19">
        <v>0</v>
      </c>
      <c r="R49" s="16">
        <v>0</v>
      </c>
      <c r="S49" s="25">
        <v>1.9321555771670734E-5</v>
      </c>
      <c r="T49" s="22">
        <v>0</v>
      </c>
      <c r="U49" s="25">
        <v>0</v>
      </c>
      <c r="V49" s="22">
        <v>5.0412436748145764E-5</v>
      </c>
      <c r="W49" s="25">
        <v>0</v>
      </c>
    </row>
    <row r="50" spans="1:23" x14ac:dyDescent="0.2">
      <c r="A50" s="6" t="s">
        <v>117</v>
      </c>
      <c r="B50" s="19">
        <v>0</v>
      </c>
      <c r="C50" s="16">
        <v>0</v>
      </c>
      <c r="D50" s="19">
        <v>0</v>
      </c>
      <c r="E50" s="16">
        <v>0</v>
      </c>
      <c r="F50" s="19">
        <v>6.1032828032377915E-5</v>
      </c>
      <c r="G50" s="16">
        <v>1.7219409718634846E-5</v>
      </c>
      <c r="H50" s="22">
        <v>5.8736384579741169E-5</v>
      </c>
      <c r="I50" s="25">
        <v>1.931794766124047E-5</v>
      </c>
      <c r="J50" s="22">
        <v>0</v>
      </c>
      <c r="K50" s="25">
        <v>0</v>
      </c>
      <c r="L50" s="22">
        <v>0</v>
      </c>
      <c r="M50" s="25">
        <v>0</v>
      </c>
      <c r="N50" s="19">
        <v>0</v>
      </c>
      <c r="O50" s="19">
        <v>0</v>
      </c>
      <c r="P50" s="16">
        <v>0</v>
      </c>
      <c r="Q50" s="19">
        <v>2.6688729349595664E-5</v>
      </c>
      <c r="R50" s="16">
        <v>0</v>
      </c>
      <c r="S50" s="25">
        <v>0</v>
      </c>
      <c r="T50" s="22">
        <v>0</v>
      </c>
      <c r="U50" s="25">
        <v>0</v>
      </c>
      <c r="V50" s="22">
        <v>0</v>
      </c>
      <c r="W50" s="25">
        <v>0</v>
      </c>
    </row>
    <row r="51" spans="1:23" x14ac:dyDescent="0.2">
      <c r="A51" s="6" t="s">
        <v>118</v>
      </c>
      <c r="B51" s="19">
        <v>3.9663652229097259E-5</v>
      </c>
      <c r="C51" s="16">
        <v>0</v>
      </c>
      <c r="D51" s="19">
        <v>0</v>
      </c>
      <c r="E51" s="16">
        <v>7.4720646673233032E-5</v>
      </c>
      <c r="F51" s="19">
        <v>2.2887310512141718E-5</v>
      </c>
      <c r="G51" s="16">
        <v>0</v>
      </c>
      <c r="H51" s="22">
        <v>0</v>
      </c>
      <c r="I51" s="25">
        <v>0</v>
      </c>
      <c r="J51" s="22">
        <v>0</v>
      </c>
      <c r="K51" s="25">
        <v>0</v>
      </c>
      <c r="L51" s="22">
        <v>2.459238128027937E-5</v>
      </c>
      <c r="M51" s="25">
        <v>0</v>
      </c>
      <c r="N51" s="19">
        <v>2.3905858728327845E-5</v>
      </c>
      <c r="O51" s="19">
        <v>0</v>
      </c>
      <c r="P51" s="16">
        <v>0</v>
      </c>
      <c r="Q51" s="19">
        <v>0</v>
      </c>
      <c r="R51" s="16">
        <v>0</v>
      </c>
      <c r="S51" s="25">
        <v>1.9321555771670734E-5</v>
      </c>
      <c r="T51" s="22">
        <v>4.5491306105944199E-4</v>
      </c>
      <c r="U51" s="25">
        <v>1.2732365673542144E-5</v>
      </c>
      <c r="V51" s="22">
        <v>0</v>
      </c>
      <c r="W51" s="25">
        <v>1.6484648670925202E-5</v>
      </c>
    </row>
    <row r="52" spans="1:23" x14ac:dyDescent="0.2">
      <c r="A52" s="6" t="s">
        <v>119</v>
      </c>
      <c r="B52" s="19">
        <v>4.3762229626103976E-3</v>
      </c>
      <c r="C52" s="16">
        <v>2.4237555746378219E-4</v>
      </c>
      <c r="D52" s="19">
        <v>5.0879374666903537E-3</v>
      </c>
      <c r="E52" s="16">
        <v>2.3027544747478181E-3</v>
      </c>
      <c r="F52" s="19">
        <v>4.1731196167138392E-3</v>
      </c>
      <c r="G52" s="16">
        <v>1.7649894961600718E-3</v>
      </c>
      <c r="H52" s="22">
        <v>2.6561898359949618E-3</v>
      </c>
      <c r="I52" s="25">
        <v>0</v>
      </c>
      <c r="J52" s="22">
        <v>1.3998133582189041E-4</v>
      </c>
      <c r="K52" s="25">
        <v>0</v>
      </c>
      <c r="L52" s="22">
        <v>3.8425595750436513E-3</v>
      </c>
      <c r="M52" s="25">
        <v>4.8087795144662457E-3</v>
      </c>
      <c r="N52" s="19">
        <v>3.8368903258966195E-3</v>
      </c>
      <c r="O52" s="19">
        <v>3.8074474303679477E-3</v>
      </c>
      <c r="P52" s="16">
        <v>1.8817656264145575E-3</v>
      </c>
      <c r="Q52" s="19">
        <v>4.6438389068296452E-3</v>
      </c>
      <c r="R52" s="16">
        <v>1.242519887459118E-3</v>
      </c>
      <c r="S52" s="25">
        <v>0</v>
      </c>
      <c r="T52" s="22">
        <v>5.1999090173877865E-3</v>
      </c>
      <c r="U52" s="25">
        <v>1.3050674815380694E-3</v>
      </c>
      <c r="V52" s="22">
        <v>5.6083835882312174E-4</v>
      </c>
      <c r="W52" s="25">
        <v>2.3078508139295282E-4</v>
      </c>
    </row>
    <row r="53" spans="1:23" x14ac:dyDescent="0.2">
      <c r="A53" s="6" t="s">
        <v>120</v>
      </c>
      <c r="B53" s="19">
        <v>0</v>
      </c>
      <c r="C53" s="16">
        <v>0</v>
      </c>
      <c r="D53" s="19">
        <v>0</v>
      </c>
      <c r="E53" s="16">
        <v>0</v>
      </c>
      <c r="F53" s="19">
        <v>0</v>
      </c>
      <c r="G53" s="16">
        <v>0</v>
      </c>
      <c r="H53" s="22">
        <v>0</v>
      </c>
      <c r="I53" s="25">
        <v>0</v>
      </c>
      <c r="J53" s="22">
        <v>0</v>
      </c>
      <c r="K53" s="25">
        <v>0</v>
      </c>
      <c r="L53" s="22">
        <v>0</v>
      </c>
      <c r="M53" s="25">
        <v>0</v>
      </c>
      <c r="N53" s="19">
        <v>0</v>
      </c>
      <c r="O53" s="19">
        <v>0</v>
      </c>
      <c r="P53" s="16">
        <v>0</v>
      </c>
      <c r="Q53" s="19">
        <v>0</v>
      </c>
      <c r="R53" s="16">
        <v>0</v>
      </c>
      <c r="S53" s="25">
        <v>0</v>
      </c>
      <c r="T53" s="22">
        <v>0</v>
      </c>
      <c r="U53" s="25">
        <v>0</v>
      </c>
      <c r="V53" s="22">
        <v>0</v>
      </c>
      <c r="W53" s="25">
        <v>2.4726973006387802E-5</v>
      </c>
    </row>
    <row r="54" spans="1:23" x14ac:dyDescent="0.2">
      <c r="A54" s="6" t="s">
        <v>121</v>
      </c>
      <c r="B54" s="19">
        <v>2.6521762123856381E-2</v>
      </c>
      <c r="C54" s="16">
        <v>1.8766793163624257E-2</v>
      </c>
      <c r="D54" s="19">
        <v>3.8614318706697487E-2</v>
      </c>
      <c r="E54" s="16">
        <v>3.333220120232315E-2</v>
      </c>
      <c r="F54" s="19">
        <v>3.7741175034521707E-2</v>
      </c>
      <c r="G54" s="16">
        <v>5.9053965630058242E-2</v>
      </c>
      <c r="H54" s="22">
        <v>2.0923205440294478E-2</v>
      </c>
      <c r="I54" s="25">
        <v>7.1476406346589741E-3</v>
      </c>
      <c r="J54" s="22">
        <v>1.0671910411945073E-2</v>
      </c>
      <c r="K54" s="25">
        <v>6.3674629346631281E-3</v>
      </c>
      <c r="L54" s="22">
        <v>1.669207879398962E-2</v>
      </c>
      <c r="M54" s="25">
        <v>1.6395078150981041E-2</v>
      </c>
      <c r="N54" s="19">
        <v>2.9135265325149564E-2</v>
      </c>
      <c r="O54" s="19">
        <v>6.6985797115187068E-2</v>
      </c>
      <c r="P54" s="16">
        <v>3.5372020537758217E-2</v>
      </c>
      <c r="Q54" s="19">
        <v>4.0513491152686203E-2</v>
      </c>
      <c r="R54" s="16">
        <v>4.3573887087790447E-2</v>
      </c>
      <c r="S54" s="25">
        <v>9.7445046275126089E-3</v>
      </c>
      <c r="T54" s="22">
        <v>2.6214365143550251E-2</v>
      </c>
      <c r="U54" s="25">
        <v>1.6462948815889947E-2</v>
      </c>
      <c r="V54" s="22">
        <v>1.8589586050878751E-2</v>
      </c>
      <c r="W54" s="25">
        <v>1.0945806717494339E-2</v>
      </c>
    </row>
    <row r="55" spans="1:23" x14ac:dyDescent="0.2">
      <c r="A55" s="6" t="s">
        <v>122</v>
      </c>
      <c r="B55" s="19">
        <v>7.2716695753344965E-5</v>
      </c>
      <c r="C55" s="16">
        <v>2.8392565302900194E-4</v>
      </c>
      <c r="D55" s="19">
        <v>1.4069994670456564E-3</v>
      </c>
      <c r="E55" s="16">
        <v>3.9398159154977413E-4</v>
      </c>
      <c r="F55" s="19">
        <v>1.9835669110522823E-4</v>
      </c>
      <c r="G55" s="16">
        <v>2.0663291662361815E-4</v>
      </c>
      <c r="H55" s="22">
        <v>3.9157589719827446E-5</v>
      </c>
      <c r="I55" s="25">
        <v>8.306717494333402E-4</v>
      </c>
      <c r="J55" s="22">
        <v>5.3992800959872021E-4</v>
      </c>
      <c r="K55" s="25">
        <v>2.7011448028097266E-3</v>
      </c>
      <c r="L55" s="22">
        <v>2.8896048004328258E-4</v>
      </c>
      <c r="M55" s="25">
        <v>6.9171932158297307E-4</v>
      </c>
      <c r="N55" s="19">
        <v>4.8409363924863883E-4</v>
      </c>
      <c r="O55" s="19">
        <v>1.1848902791601497E-4</v>
      </c>
      <c r="P55" s="16">
        <v>7.9538547095873047E-4</v>
      </c>
      <c r="Q55" s="19">
        <v>5.3377458699191329E-4</v>
      </c>
      <c r="R55" s="16">
        <v>3.6418686356560364E-4</v>
      </c>
      <c r="S55" s="25">
        <v>5.390714060296134E-3</v>
      </c>
      <c r="T55" s="22">
        <v>6.1918722199757375E-4</v>
      </c>
      <c r="U55" s="25">
        <v>1.2668703845174435E-3</v>
      </c>
      <c r="V55" s="22">
        <v>4.2220415776572076E-4</v>
      </c>
      <c r="W55" s="25">
        <v>4.3024933031114779E-3</v>
      </c>
    </row>
    <row r="56" spans="1:23" x14ac:dyDescent="0.2">
      <c r="A56" s="6" t="s">
        <v>123</v>
      </c>
      <c r="B56" s="19">
        <v>0</v>
      </c>
      <c r="C56" s="16">
        <v>0</v>
      </c>
      <c r="D56" s="19">
        <v>1.7054538994492805E-4</v>
      </c>
      <c r="E56" s="16">
        <v>1.3585572122406004E-5</v>
      </c>
      <c r="F56" s="19">
        <v>0</v>
      </c>
      <c r="G56" s="16">
        <v>0</v>
      </c>
      <c r="H56" s="22">
        <v>0</v>
      </c>
      <c r="I56" s="25">
        <v>0</v>
      </c>
      <c r="J56" s="22">
        <v>0</v>
      </c>
      <c r="K56" s="25">
        <v>0</v>
      </c>
      <c r="L56" s="22">
        <v>0</v>
      </c>
      <c r="M56" s="25">
        <v>0</v>
      </c>
      <c r="N56" s="19">
        <v>0</v>
      </c>
      <c r="O56" s="19">
        <v>0</v>
      </c>
      <c r="P56" s="16">
        <v>0</v>
      </c>
      <c r="Q56" s="19">
        <v>0</v>
      </c>
      <c r="R56" s="16">
        <v>0</v>
      </c>
      <c r="S56" s="25">
        <v>0</v>
      </c>
      <c r="T56" s="22">
        <v>0</v>
      </c>
      <c r="U56" s="25">
        <v>0</v>
      </c>
      <c r="V56" s="22">
        <v>0</v>
      </c>
      <c r="W56" s="25">
        <v>0</v>
      </c>
    </row>
    <row r="57" spans="1:23" x14ac:dyDescent="0.2">
      <c r="A57" s="6" t="s">
        <v>124</v>
      </c>
      <c r="B57" s="19">
        <v>0</v>
      </c>
      <c r="C57" s="16">
        <v>0</v>
      </c>
      <c r="D57" s="19">
        <v>0</v>
      </c>
      <c r="E57" s="16">
        <v>0</v>
      </c>
      <c r="F57" s="19">
        <v>0</v>
      </c>
      <c r="G57" s="16">
        <v>0</v>
      </c>
      <c r="H57" s="22">
        <v>0</v>
      </c>
      <c r="I57" s="25">
        <v>0</v>
      </c>
      <c r="J57" s="22">
        <v>0</v>
      </c>
      <c r="K57" s="25">
        <v>0</v>
      </c>
      <c r="L57" s="22">
        <v>1.2296190640139685E-5</v>
      </c>
      <c r="M57" s="25">
        <v>0</v>
      </c>
      <c r="N57" s="19">
        <v>0</v>
      </c>
      <c r="O57" s="19">
        <v>0</v>
      </c>
      <c r="P57" s="16">
        <v>0</v>
      </c>
      <c r="Q57" s="19">
        <v>0</v>
      </c>
      <c r="R57" s="16">
        <v>0</v>
      </c>
      <c r="S57" s="25">
        <v>0</v>
      </c>
      <c r="T57" s="22">
        <v>0</v>
      </c>
      <c r="U57" s="25">
        <v>0</v>
      </c>
      <c r="V57" s="22">
        <v>0</v>
      </c>
      <c r="W57" s="25">
        <v>0</v>
      </c>
    </row>
    <row r="58" spans="1:23" x14ac:dyDescent="0.2">
      <c r="A58" s="6" t="s">
        <v>125</v>
      </c>
      <c r="B58" s="19">
        <v>0</v>
      </c>
      <c r="C58" s="16">
        <v>1.1080025484058613E-4</v>
      </c>
      <c r="D58" s="19">
        <v>2.1318173743116006E-5</v>
      </c>
      <c r="E58" s="16">
        <v>0</v>
      </c>
      <c r="F58" s="19">
        <v>0</v>
      </c>
      <c r="G58" s="16">
        <v>2.5829114577952269E-5</v>
      </c>
      <c r="H58" s="22">
        <v>0</v>
      </c>
      <c r="I58" s="25">
        <v>0</v>
      </c>
      <c r="J58" s="22">
        <v>0</v>
      </c>
      <c r="K58" s="25">
        <v>0</v>
      </c>
      <c r="L58" s="22">
        <v>0</v>
      </c>
      <c r="M58" s="25">
        <v>0</v>
      </c>
      <c r="N58" s="19">
        <v>2.3905858728327845E-5</v>
      </c>
      <c r="O58" s="19">
        <v>0</v>
      </c>
      <c r="P58" s="16">
        <v>6.4665485443799218E-5</v>
      </c>
      <c r="Q58" s="19">
        <v>1.0675491739838266E-4</v>
      </c>
      <c r="R58" s="16">
        <v>0</v>
      </c>
      <c r="S58" s="25">
        <v>0</v>
      </c>
      <c r="T58" s="22">
        <v>0</v>
      </c>
      <c r="U58" s="25">
        <v>0</v>
      </c>
      <c r="V58" s="22">
        <v>0</v>
      </c>
      <c r="W58" s="25">
        <v>0</v>
      </c>
    </row>
    <row r="59" spans="1:23" x14ac:dyDescent="0.2">
      <c r="A59" s="6" t="s">
        <v>43</v>
      </c>
      <c r="B59" s="19">
        <v>4.4026653974297957E-3</v>
      </c>
      <c r="C59" s="16">
        <v>2.617656020608847E-3</v>
      </c>
      <c r="D59" s="19">
        <v>5.0097708296322607E-3</v>
      </c>
      <c r="E59" s="16">
        <v>2.6695649220527806E-3</v>
      </c>
      <c r="F59" s="19">
        <v>3.5780495433981548E-3</v>
      </c>
      <c r="G59" s="16">
        <v>2.0146709370802767E-3</v>
      </c>
      <c r="H59" s="22">
        <v>3.4980780149712525E-3</v>
      </c>
      <c r="I59" s="25">
        <v>2.3439109828971771E-3</v>
      </c>
      <c r="J59" s="22">
        <v>1.5864551393147579E-3</v>
      </c>
      <c r="K59" s="25">
        <v>1.3405185125606584E-3</v>
      </c>
      <c r="L59" s="22">
        <v>4.1868529129675631E-3</v>
      </c>
      <c r="M59" s="25">
        <v>2.7136681077485863E-3</v>
      </c>
      <c r="N59" s="19">
        <v>2.1873860736419978E-3</v>
      </c>
      <c r="O59" s="19">
        <v>8.5707063525917501E-3</v>
      </c>
      <c r="P59" s="16">
        <v>4.7141138888529633E-3</v>
      </c>
      <c r="Q59" s="19">
        <v>3.9499319437401583E-3</v>
      </c>
      <c r="R59" s="16">
        <v>2.4707579371313496E-3</v>
      </c>
      <c r="S59" s="25">
        <v>2.6921367708527886E-3</v>
      </c>
      <c r="T59" s="22">
        <v>4.5112211888394668E-3</v>
      </c>
      <c r="U59" s="25">
        <v>3.3486121721415826E-3</v>
      </c>
      <c r="V59" s="22">
        <v>1.3233264646388264E-3</v>
      </c>
      <c r="W59" s="25">
        <v>1.0879868122810634E-3</v>
      </c>
    </row>
    <row r="60" spans="1:23" x14ac:dyDescent="0.2">
      <c r="A60" s="6" t="s">
        <v>126</v>
      </c>
      <c r="B60" s="19">
        <v>0</v>
      </c>
      <c r="C60" s="16">
        <v>0</v>
      </c>
      <c r="D60" s="19">
        <v>0</v>
      </c>
      <c r="E60" s="16">
        <v>0</v>
      </c>
      <c r="F60" s="19">
        <v>0</v>
      </c>
      <c r="G60" s="16">
        <v>0</v>
      </c>
      <c r="H60" s="22">
        <v>0</v>
      </c>
      <c r="I60" s="25">
        <v>0</v>
      </c>
      <c r="J60" s="22">
        <v>0</v>
      </c>
      <c r="K60" s="25">
        <v>0</v>
      </c>
      <c r="L60" s="22">
        <v>0</v>
      </c>
      <c r="M60" s="25">
        <v>0</v>
      </c>
      <c r="N60" s="19">
        <v>0</v>
      </c>
      <c r="O60" s="19">
        <v>0</v>
      </c>
      <c r="P60" s="16">
        <v>0</v>
      </c>
      <c r="Q60" s="19">
        <v>0</v>
      </c>
      <c r="R60" s="16">
        <v>0</v>
      </c>
      <c r="S60" s="25">
        <v>0</v>
      </c>
      <c r="T60" s="22">
        <v>3.7909421754953497E-5</v>
      </c>
      <c r="U60" s="25">
        <v>0</v>
      </c>
      <c r="V60" s="22">
        <v>1.8904663780554662E-5</v>
      </c>
      <c r="W60" s="25">
        <v>0</v>
      </c>
    </row>
    <row r="61" spans="1:23" x14ac:dyDescent="0.2">
      <c r="A61" s="6" t="s">
        <v>127</v>
      </c>
      <c r="B61" s="19">
        <v>0</v>
      </c>
      <c r="C61" s="16">
        <v>0</v>
      </c>
      <c r="D61" s="19">
        <v>3.5530289571860007E-5</v>
      </c>
      <c r="E61" s="16">
        <v>2.0378358183609007E-5</v>
      </c>
      <c r="F61" s="19">
        <v>0</v>
      </c>
      <c r="G61" s="16">
        <v>3.4438819437269692E-5</v>
      </c>
      <c r="H61" s="22">
        <v>0</v>
      </c>
      <c r="I61" s="25">
        <v>0</v>
      </c>
      <c r="J61" s="22">
        <v>0</v>
      </c>
      <c r="K61" s="25">
        <v>1.3405185125606584E-5</v>
      </c>
      <c r="L61" s="22">
        <v>0</v>
      </c>
      <c r="M61" s="25">
        <v>0</v>
      </c>
      <c r="N61" s="19">
        <v>0</v>
      </c>
      <c r="O61" s="19">
        <v>0</v>
      </c>
      <c r="P61" s="16">
        <v>0</v>
      </c>
      <c r="Q61" s="19">
        <v>0</v>
      </c>
      <c r="R61" s="16">
        <v>0</v>
      </c>
      <c r="S61" s="25">
        <v>0</v>
      </c>
      <c r="T61" s="22">
        <v>0</v>
      </c>
      <c r="U61" s="25">
        <v>0</v>
      </c>
      <c r="V61" s="22">
        <v>1.2603109187036441E-5</v>
      </c>
      <c r="W61" s="25">
        <v>0</v>
      </c>
    </row>
    <row r="62" spans="1:23" x14ac:dyDescent="0.2">
      <c r="A62" s="6" t="s">
        <v>128</v>
      </c>
      <c r="B62" s="19">
        <v>0</v>
      </c>
      <c r="C62" s="16">
        <v>2.7700063710146532E-5</v>
      </c>
      <c r="D62" s="19">
        <v>0</v>
      </c>
      <c r="E62" s="16">
        <v>0</v>
      </c>
      <c r="F62" s="19">
        <v>0</v>
      </c>
      <c r="G62" s="16">
        <v>0</v>
      </c>
      <c r="H62" s="22">
        <v>0</v>
      </c>
      <c r="I62" s="25">
        <v>0</v>
      </c>
      <c r="J62" s="22">
        <v>0</v>
      </c>
      <c r="K62" s="25">
        <v>0</v>
      </c>
      <c r="L62" s="22">
        <v>0</v>
      </c>
      <c r="M62" s="25">
        <v>0</v>
      </c>
      <c r="N62" s="19">
        <v>0</v>
      </c>
      <c r="O62" s="19">
        <v>0</v>
      </c>
      <c r="P62" s="16">
        <v>0</v>
      </c>
      <c r="Q62" s="19">
        <v>0</v>
      </c>
      <c r="R62" s="16">
        <v>0</v>
      </c>
      <c r="S62" s="25">
        <v>0</v>
      </c>
      <c r="T62" s="22">
        <v>0</v>
      </c>
      <c r="U62" s="25">
        <v>0</v>
      </c>
      <c r="V62" s="22">
        <v>0</v>
      </c>
      <c r="W62" s="25">
        <v>0</v>
      </c>
    </row>
    <row r="63" spans="1:23" x14ac:dyDescent="0.2">
      <c r="A63" s="6" t="s">
        <v>129</v>
      </c>
      <c r="B63" s="19">
        <v>9.717594796128826E-4</v>
      </c>
      <c r="C63" s="16">
        <v>1.038752389130495E-4</v>
      </c>
      <c r="D63" s="19">
        <v>6.1112098063599216E-4</v>
      </c>
      <c r="E63" s="16">
        <v>1.4264850728526305E-4</v>
      </c>
      <c r="F63" s="19">
        <v>2.2658437407020297E-3</v>
      </c>
      <c r="G63" s="16">
        <v>1.5497468746771361E-4</v>
      </c>
      <c r="H63" s="22">
        <v>6.4610023037715283E-4</v>
      </c>
      <c r="I63" s="25">
        <v>3.8635895322480941E-5</v>
      </c>
      <c r="J63" s="22">
        <v>7.3323556859085457E-5</v>
      </c>
      <c r="K63" s="25">
        <v>6.0323333065229637E-5</v>
      </c>
      <c r="L63" s="22">
        <v>7.9925239160907947E-5</v>
      </c>
      <c r="M63" s="25">
        <v>5.9860325906218827E-5</v>
      </c>
      <c r="N63" s="19">
        <v>4.1237606306365531E-4</v>
      </c>
      <c r="O63" s="19">
        <v>9.1631514921718246E-4</v>
      </c>
      <c r="P63" s="16">
        <v>5.8198936899419307E-5</v>
      </c>
      <c r="Q63" s="19">
        <v>6.4052950439029595E-4</v>
      </c>
      <c r="R63" s="16">
        <v>1.8566389122952342E-4</v>
      </c>
      <c r="S63" s="25">
        <v>1.9321555771670734E-5</v>
      </c>
      <c r="T63" s="22">
        <v>0</v>
      </c>
      <c r="U63" s="25">
        <v>4.4563279857397503E-5</v>
      </c>
      <c r="V63" s="22">
        <v>1.8904663780554662E-5</v>
      </c>
      <c r="W63" s="25">
        <v>0</v>
      </c>
    </row>
    <row r="64" spans="1:23" x14ac:dyDescent="0.2">
      <c r="A64" s="6" t="s">
        <v>130</v>
      </c>
      <c r="B64" s="19">
        <v>2.6442434819398171E-5</v>
      </c>
      <c r="C64" s="16">
        <v>0</v>
      </c>
      <c r="D64" s="19">
        <v>0</v>
      </c>
      <c r="E64" s="16">
        <v>0</v>
      </c>
      <c r="F64" s="19">
        <v>0</v>
      </c>
      <c r="G64" s="16">
        <v>1.0331645831180907E-4</v>
      </c>
      <c r="H64" s="22">
        <v>5.8736384579741169E-5</v>
      </c>
      <c r="I64" s="25">
        <v>0</v>
      </c>
      <c r="J64" s="22">
        <v>0</v>
      </c>
      <c r="K64" s="25">
        <v>0</v>
      </c>
      <c r="L64" s="22">
        <v>0</v>
      </c>
      <c r="M64" s="25">
        <v>0</v>
      </c>
      <c r="N64" s="19">
        <v>0</v>
      </c>
      <c r="O64" s="19">
        <v>0</v>
      </c>
      <c r="P64" s="16">
        <v>0</v>
      </c>
      <c r="Q64" s="19">
        <v>5.3377458699191329E-5</v>
      </c>
      <c r="R64" s="16">
        <v>2.1422756680329623E-5</v>
      </c>
      <c r="S64" s="25">
        <v>0</v>
      </c>
      <c r="T64" s="22">
        <v>0</v>
      </c>
      <c r="U64" s="25">
        <v>5.0929462694168576E-5</v>
      </c>
      <c r="V64" s="22">
        <v>0</v>
      </c>
      <c r="W64" s="25">
        <v>0</v>
      </c>
    </row>
    <row r="65" spans="1:23" x14ac:dyDescent="0.2">
      <c r="A65" s="6" t="s">
        <v>71</v>
      </c>
      <c r="B65" s="19">
        <v>7.5360939235284783E-4</v>
      </c>
      <c r="C65" s="16">
        <v>6.6480152904351681E-4</v>
      </c>
      <c r="D65" s="19">
        <v>1.2364540771007285E-3</v>
      </c>
      <c r="E65" s="16">
        <v>7.4720646673233034E-4</v>
      </c>
      <c r="F65" s="19">
        <v>3.7764062345033832E-3</v>
      </c>
      <c r="G65" s="16">
        <v>1.0848228122739953E-3</v>
      </c>
      <c r="H65" s="22">
        <v>1.0376761275754274E-3</v>
      </c>
      <c r="I65" s="25">
        <v>1.7965691324953639E-3</v>
      </c>
      <c r="J65" s="22">
        <v>1.626449806692441E-3</v>
      </c>
      <c r="K65" s="25">
        <v>1.8633207324593153E-3</v>
      </c>
      <c r="L65" s="22">
        <v>1.4448024002164132E-3</v>
      </c>
      <c r="M65" s="25">
        <v>9.0455603591619552E-4</v>
      </c>
      <c r="N65" s="19">
        <v>5.0202303329488474E-4</v>
      </c>
      <c r="O65" s="19">
        <v>7.1883343602382424E-4</v>
      </c>
      <c r="P65" s="16">
        <v>3.5566016994089577E-4</v>
      </c>
      <c r="Q65" s="19">
        <v>7.3394005711388077E-4</v>
      </c>
      <c r="R65" s="16">
        <v>7.0695097045087756E-4</v>
      </c>
      <c r="S65" s="25">
        <v>3.4778800389007316E-3</v>
      </c>
      <c r="T65" s="22">
        <v>1.2636473918317833E-3</v>
      </c>
      <c r="U65" s="25">
        <v>1.5979118920295392E-3</v>
      </c>
      <c r="V65" s="22">
        <v>1.1090736084592068E-3</v>
      </c>
      <c r="W65" s="25">
        <v>4.0469812487121367E-3</v>
      </c>
    </row>
    <row r="66" spans="1:23" x14ac:dyDescent="0.2">
      <c r="A66" s="6" t="s">
        <v>131</v>
      </c>
      <c r="B66" s="19">
        <v>1.9831826114548629E-5</v>
      </c>
      <c r="C66" s="16">
        <v>6.2325143347829697E-5</v>
      </c>
      <c r="D66" s="19">
        <v>0</v>
      </c>
      <c r="E66" s="16">
        <v>0</v>
      </c>
      <c r="F66" s="19">
        <v>6.1032828032377915E-5</v>
      </c>
      <c r="G66" s="16">
        <v>0</v>
      </c>
      <c r="H66" s="22">
        <v>8.8757203364942211E-4</v>
      </c>
      <c r="I66" s="25">
        <v>1.5454358128992373E-4</v>
      </c>
      <c r="J66" s="22">
        <v>8.3988801493134252E-4</v>
      </c>
      <c r="K66" s="25">
        <v>2.546985173865251E-4</v>
      </c>
      <c r="L66" s="22">
        <v>1.9059095492216511E-4</v>
      </c>
      <c r="M66" s="25">
        <v>0</v>
      </c>
      <c r="N66" s="19">
        <v>0</v>
      </c>
      <c r="O66" s="19">
        <v>0</v>
      </c>
      <c r="P66" s="16">
        <v>7.7598582532559067E-5</v>
      </c>
      <c r="Q66" s="19">
        <v>5.3377458699191329E-5</v>
      </c>
      <c r="R66" s="16">
        <v>2.9277767463117154E-4</v>
      </c>
      <c r="S66" s="25">
        <v>3.0914489234673174E-4</v>
      </c>
      <c r="T66" s="22">
        <v>5.6864132632430249E-5</v>
      </c>
      <c r="U66" s="25">
        <v>8.9126559714795006E-5</v>
      </c>
      <c r="V66" s="22">
        <v>8.1920209715736871E-5</v>
      </c>
      <c r="W66" s="25">
        <v>9.1489800123634873E-4</v>
      </c>
    </row>
    <row r="67" spans="1:23" x14ac:dyDescent="0.2">
      <c r="A67" s="6" t="s">
        <v>132</v>
      </c>
      <c r="B67" s="19">
        <v>0</v>
      </c>
      <c r="C67" s="16">
        <v>0</v>
      </c>
      <c r="D67" s="19">
        <v>0</v>
      </c>
      <c r="E67" s="16">
        <v>0</v>
      </c>
      <c r="F67" s="19">
        <v>0</v>
      </c>
      <c r="G67" s="16">
        <v>0</v>
      </c>
      <c r="H67" s="22">
        <v>0</v>
      </c>
      <c r="I67" s="25">
        <v>0</v>
      </c>
      <c r="J67" s="22">
        <v>0</v>
      </c>
      <c r="K67" s="25">
        <v>0</v>
      </c>
      <c r="L67" s="22">
        <v>0</v>
      </c>
      <c r="M67" s="25">
        <v>0</v>
      </c>
      <c r="N67" s="19">
        <v>0</v>
      </c>
      <c r="O67" s="19">
        <v>0</v>
      </c>
      <c r="P67" s="16">
        <v>0</v>
      </c>
      <c r="Q67" s="19">
        <v>0</v>
      </c>
      <c r="R67" s="16">
        <v>1.4281837786886417E-5</v>
      </c>
      <c r="S67" s="25">
        <v>0</v>
      </c>
      <c r="T67" s="22">
        <v>0</v>
      </c>
      <c r="U67" s="25">
        <v>0</v>
      </c>
      <c r="V67" s="22">
        <v>0</v>
      </c>
      <c r="W67" s="25">
        <v>0</v>
      </c>
    </row>
    <row r="68" spans="1:23" x14ac:dyDescent="0.2">
      <c r="A68" s="6" t="s">
        <v>133</v>
      </c>
      <c r="B68" s="19">
        <v>1.3340208366386381E-2</v>
      </c>
      <c r="C68" s="16">
        <v>5.0490291127669618E-2</v>
      </c>
      <c r="D68" s="19">
        <v>4.5677740273583269E-2</v>
      </c>
      <c r="E68" s="16">
        <v>6.3580477532860113E-2</v>
      </c>
      <c r="F68" s="19">
        <v>3.9869694912150873E-2</v>
      </c>
      <c r="G68" s="16">
        <v>2.0189757895099365E-2</v>
      </c>
      <c r="H68" s="22">
        <v>8.6753640024277698E-2</v>
      </c>
      <c r="I68" s="25">
        <v>9.1264424067586988E-2</v>
      </c>
      <c r="J68" s="22">
        <v>0.15323290227969616</v>
      </c>
      <c r="K68" s="25">
        <v>0.11104855358052501</v>
      </c>
      <c r="L68" s="22">
        <v>5.3303986425005584E-2</v>
      </c>
      <c r="M68" s="25">
        <v>0.12959760558696365</v>
      </c>
      <c r="N68" s="19">
        <v>3.8422691441104939E-2</v>
      </c>
      <c r="O68" s="19">
        <v>2.0008847180751067E-2</v>
      </c>
      <c r="P68" s="16">
        <v>9.141759677189891E-2</v>
      </c>
      <c r="Q68" s="19">
        <v>3.4882169259921533E-2</v>
      </c>
      <c r="R68" s="16">
        <v>4.2938345306273995E-2</v>
      </c>
      <c r="S68" s="25">
        <v>0.16447796376564211</v>
      </c>
      <c r="T68" s="22">
        <v>2.9019662353416853E-2</v>
      </c>
      <c r="U68" s="25">
        <v>5.9269162210338656E-2</v>
      </c>
      <c r="V68" s="22">
        <v>0.25833223056127941</v>
      </c>
      <c r="W68" s="25">
        <v>4.3659592004945361E-2</v>
      </c>
    </row>
    <row r="69" spans="1:23" x14ac:dyDescent="0.2">
      <c r="A69" s="6" t="s">
        <v>134</v>
      </c>
      <c r="B69" s="19">
        <v>0</v>
      </c>
      <c r="C69" s="16">
        <v>0</v>
      </c>
      <c r="D69" s="19">
        <v>8.5272694972464023E-5</v>
      </c>
      <c r="E69" s="16">
        <v>0</v>
      </c>
      <c r="F69" s="19">
        <v>3.8908427870640923E-4</v>
      </c>
      <c r="G69" s="16">
        <v>6.026793401522196E-5</v>
      </c>
      <c r="H69" s="22">
        <v>5.4820625607758424E-4</v>
      </c>
      <c r="I69" s="25">
        <v>2.260199876365135E-3</v>
      </c>
      <c r="J69" s="22">
        <v>0</v>
      </c>
      <c r="K69" s="25">
        <v>6.7025925628032924E-5</v>
      </c>
      <c r="L69" s="22">
        <v>4.7770700636942682E-3</v>
      </c>
      <c r="M69" s="25">
        <v>7.0701696042567343E-3</v>
      </c>
      <c r="N69" s="19">
        <v>4.1835252774573728E-5</v>
      </c>
      <c r="O69" s="19">
        <v>6.3194148221874653E-5</v>
      </c>
      <c r="P69" s="16">
        <v>0</v>
      </c>
      <c r="Q69" s="19">
        <v>0</v>
      </c>
      <c r="R69" s="16">
        <v>0</v>
      </c>
      <c r="S69" s="25">
        <v>8.3726741677239851E-5</v>
      </c>
      <c r="T69" s="22">
        <v>3.4560756166599274E-3</v>
      </c>
      <c r="U69" s="25">
        <v>1.6106442577030811E-3</v>
      </c>
      <c r="V69" s="22">
        <v>0</v>
      </c>
      <c r="W69" s="25">
        <v>0</v>
      </c>
    </row>
    <row r="70" spans="1:23" x14ac:dyDescent="0.2">
      <c r="A70" s="6" t="s">
        <v>135</v>
      </c>
      <c r="B70" s="19">
        <v>0</v>
      </c>
      <c r="C70" s="16">
        <v>0</v>
      </c>
      <c r="D70" s="19">
        <v>0</v>
      </c>
      <c r="E70" s="16">
        <v>7.4720646673233018E-5</v>
      </c>
      <c r="F70" s="19">
        <v>0</v>
      </c>
      <c r="G70" s="16">
        <v>0</v>
      </c>
      <c r="H70" s="22">
        <v>0</v>
      </c>
      <c r="I70" s="25">
        <v>0</v>
      </c>
      <c r="J70" s="22">
        <v>0</v>
      </c>
      <c r="K70" s="25">
        <v>0</v>
      </c>
      <c r="L70" s="22">
        <v>0</v>
      </c>
      <c r="M70" s="25">
        <v>0</v>
      </c>
      <c r="N70" s="19">
        <v>0</v>
      </c>
      <c r="O70" s="19">
        <v>0</v>
      </c>
      <c r="P70" s="16">
        <v>0</v>
      </c>
      <c r="Q70" s="19">
        <v>0</v>
      </c>
      <c r="R70" s="16">
        <v>0</v>
      </c>
      <c r="S70" s="25">
        <v>3.8643111543341467E-5</v>
      </c>
      <c r="T70" s="22">
        <v>0</v>
      </c>
      <c r="U70" s="25">
        <v>0</v>
      </c>
      <c r="V70" s="22">
        <v>0</v>
      </c>
      <c r="W70" s="25">
        <v>2.4726973006387802E-5</v>
      </c>
    </row>
    <row r="71" spans="1:23" x14ac:dyDescent="0.2">
      <c r="A71" s="6" t="s">
        <v>136</v>
      </c>
      <c r="B71" s="19">
        <v>0</v>
      </c>
      <c r="C71" s="16">
        <v>0</v>
      </c>
      <c r="D71" s="19">
        <v>0</v>
      </c>
      <c r="E71" s="16">
        <v>2.7171144244812009E-5</v>
      </c>
      <c r="F71" s="19">
        <v>0</v>
      </c>
      <c r="G71" s="16">
        <v>3.4438819437269692E-5</v>
      </c>
      <c r="H71" s="22">
        <v>0</v>
      </c>
      <c r="I71" s="25">
        <v>1.931794766124047E-5</v>
      </c>
      <c r="J71" s="22">
        <v>2.6663111585121983E-5</v>
      </c>
      <c r="K71" s="25">
        <v>0</v>
      </c>
      <c r="L71" s="22">
        <v>0</v>
      </c>
      <c r="M71" s="25">
        <v>0</v>
      </c>
      <c r="N71" s="19">
        <v>0</v>
      </c>
      <c r="O71" s="19">
        <v>0</v>
      </c>
      <c r="P71" s="16">
        <v>0</v>
      </c>
      <c r="Q71" s="19">
        <v>0</v>
      </c>
      <c r="R71" s="16">
        <v>0</v>
      </c>
      <c r="S71" s="25">
        <v>0</v>
      </c>
      <c r="T71" s="22">
        <v>0</v>
      </c>
      <c r="U71" s="25">
        <v>0</v>
      </c>
      <c r="V71" s="22">
        <v>0</v>
      </c>
      <c r="W71" s="25">
        <v>6.5938594683700807E-5</v>
      </c>
    </row>
    <row r="72" spans="1:23" x14ac:dyDescent="0.2">
      <c r="A72" s="6" t="s">
        <v>137</v>
      </c>
      <c r="B72" s="19">
        <v>0</v>
      </c>
      <c r="C72" s="16">
        <v>0</v>
      </c>
      <c r="D72" s="19">
        <v>4.2636347486232012E-5</v>
      </c>
      <c r="E72" s="16">
        <v>3.396393030601501E-5</v>
      </c>
      <c r="F72" s="19">
        <v>0</v>
      </c>
      <c r="G72" s="16">
        <v>0</v>
      </c>
      <c r="H72" s="22">
        <v>1.2399903411278691E-4</v>
      </c>
      <c r="I72" s="25">
        <v>3.2196579435400785E-5</v>
      </c>
      <c r="J72" s="22">
        <v>4.666044527396347E-5</v>
      </c>
      <c r="K72" s="25">
        <v>4.691814793962305E-5</v>
      </c>
      <c r="L72" s="22">
        <v>1.4755428768167621E-4</v>
      </c>
      <c r="M72" s="25">
        <v>3.3255736614566016E-4</v>
      </c>
      <c r="N72" s="19">
        <v>6.5741111502901577E-5</v>
      </c>
      <c r="O72" s="19">
        <v>5.1345245430273157E-4</v>
      </c>
      <c r="P72" s="16">
        <v>1.2933097088759846E-5</v>
      </c>
      <c r="Q72" s="19">
        <v>5.3377458699191329E-5</v>
      </c>
      <c r="R72" s="16">
        <v>1.0711378340164812E-4</v>
      </c>
      <c r="S72" s="25">
        <v>0</v>
      </c>
      <c r="T72" s="22">
        <v>1.3268297614233725E-4</v>
      </c>
      <c r="U72" s="25">
        <v>1.7188693659281893E-4</v>
      </c>
      <c r="V72" s="22">
        <v>0</v>
      </c>
      <c r="W72" s="25">
        <v>1.8133113538017722E-4</v>
      </c>
    </row>
    <row r="73" spans="1:23" x14ac:dyDescent="0.2">
      <c r="A73" s="6" t="s">
        <v>138</v>
      </c>
      <c r="B73" s="19">
        <v>3.6358347876672484E-4</v>
      </c>
      <c r="C73" s="16">
        <v>2.2298551286667953E-3</v>
      </c>
      <c r="D73" s="19">
        <v>7.0349973352282821E-4</v>
      </c>
      <c r="E73" s="16">
        <v>1.0121251231192474E-3</v>
      </c>
      <c r="F73" s="19">
        <v>2.5786369843679669E-3</v>
      </c>
      <c r="G73" s="16">
        <v>1.6616730378482627E-3</v>
      </c>
      <c r="H73" s="22">
        <v>1.6772500929992757E-3</v>
      </c>
      <c r="I73" s="25">
        <v>5.1063774984545637E-3</v>
      </c>
      <c r="J73" s="22">
        <v>3.9728036261831752E-3</v>
      </c>
      <c r="K73" s="25">
        <v>7.6476581141585558E-3</v>
      </c>
      <c r="L73" s="22">
        <v>5.0783267343776899E-3</v>
      </c>
      <c r="M73" s="25">
        <v>5.0947788493515139E-3</v>
      </c>
      <c r="N73" s="19">
        <v>2.450350519653604E-4</v>
      </c>
      <c r="O73" s="19">
        <v>2.3697805583202996E-5</v>
      </c>
      <c r="P73" s="16">
        <v>5.108573350060139E-4</v>
      </c>
      <c r="Q73" s="19">
        <v>1.5212575729269531E-3</v>
      </c>
      <c r="R73" s="16">
        <v>1.5852839943443918E-3</v>
      </c>
      <c r="S73" s="25">
        <v>1.0613974637237794E-2</v>
      </c>
      <c r="T73" s="22">
        <v>6.0591892438334018E-3</v>
      </c>
      <c r="U73" s="25">
        <v>1.4623121976063157E-2</v>
      </c>
      <c r="V73" s="22">
        <v>4.3102633419664638E-3</v>
      </c>
      <c r="W73" s="25">
        <v>1.3162991963733774E-2</v>
      </c>
    </row>
    <row r="74" spans="1:23" x14ac:dyDescent="0.2">
      <c r="A74" s="6" t="s">
        <v>139</v>
      </c>
      <c r="B74" s="19">
        <v>0</v>
      </c>
      <c r="C74" s="16">
        <v>0</v>
      </c>
      <c r="D74" s="19">
        <v>0</v>
      </c>
      <c r="E74" s="16">
        <v>0</v>
      </c>
      <c r="F74" s="19">
        <v>0</v>
      </c>
      <c r="G74" s="16">
        <v>0</v>
      </c>
      <c r="H74" s="22">
        <v>0</v>
      </c>
      <c r="I74" s="25">
        <v>0</v>
      </c>
      <c r="J74" s="22">
        <v>1.1331822423676842E-4</v>
      </c>
      <c r="K74" s="25">
        <v>0</v>
      </c>
      <c r="L74" s="22">
        <v>0</v>
      </c>
      <c r="M74" s="25">
        <v>0</v>
      </c>
      <c r="N74" s="19">
        <v>0</v>
      </c>
      <c r="O74" s="19">
        <v>1.5798537055468663E-5</v>
      </c>
      <c r="P74" s="16">
        <v>0</v>
      </c>
      <c r="Q74" s="19">
        <v>0</v>
      </c>
      <c r="R74" s="16">
        <v>0</v>
      </c>
      <c r="S74" s="25">
        <v>0</v>
      </c>
      <c r="T74" s="22">
        <v>0</v>
      </c>
      <c r="U74" s="25">
        <v>1.2732365673542144E-5</v>
      </c>
      <c r="V74" s="22">
        <v>0</v>
      </c>
      <c r="W74" s="25">
        <v>0</v>
      </c>
    </row>
    <row r="75" spans="1:23" x14ac:dyDescent="0.2">
      <c r="A75" s="6" t="s">
        <v>140</v>
      </c>
      <c r="B75" s="19">
        <v>4.6274260933946797E-5</v>
      </c>
      <c r="C75" s="16">
        <v>0</v>
      </c>
      <c r="D75" s="19">
        <v>0</v>
      </c>
      <c r="E75" s="16">
        <v>0</v>
      </c>
      <c r="F75" s="19">
        <v>0</v>
      </c>
      <c r="G75" s="16">
        <v>0</v>
      </c>
      <c r="H75" s="22">
        <v>9.7893974299568615E-5</v>
      </c>
      <c r="I75" s="25">
        <v>0</v>
      </c>
      <c r="J75" s="22">
        <v>3.9994667377682974E-5</v>
      </c>
      <c r="K75" s="25">
        <v>4.0215555376819756E-5</v>
      </c>
      <c r="L75" s="22">
        <v>0</v>
      </c>
      <c r="M75" s="25">
        <v>0</v>
      </c>
      <c r="N75" s="19">
        <v>0</v>
      </c>
      <c r="O75" s="19">
        <v>0</v>
      </c>
      <c r="P75" s="16">
        <v>5.8198936899419307E-5</v>
      </c>
      <c r="Q75" s="19">
        <v>9.3410552723584826E-5</v>
      </c>
      <c r="R75" s="16">
        <v>0</v>
      </c>
      <c r="S75" s="25">
        <v>5.1524148724455294E-5</v>
      </c>
      <c r="T75" s="22">
        <v>0</v>
      </c>
      <c r="U75" s="25">
        <v>0</v>
      </c>
      <c r="V75" s="22">
        <v>0</v>
      </c>
      <c r="W75" s="25">
        <v>6.5938594683700807E-5</v>
      </c>
    </row>
    <row r="76" spans="1:23" x14ac:dyDescent="0.2">
      <c r="A76" s="6" t="s">
        <v>141</v>
      </c>
      <c r="B76" s="19">
        <v>0</v>
      </c>
      <c r="C76" s="16">
        <v>0</v>
      </c>
      <c r="D76" s="19">
        <v>1.7054538994492805E-4</v>
      </c>
      <c r="E76" s="16">
        <v>0</v>
      </c>
      <c r="F76" s="19">
        <v>0</v>
      </c>
      <c r="G76" s="16">
        <v>0</v>
      </c>
      <c r="H76" s="22">
        <v>0</v>
      </c>
      <c r="I76" s="25">
        <v>0</v>
      </c>
      <c r="J76" s="22">
        <v>0</v>
      </c>
      <c r="K76" s="25">
        <v>0</v>
      </c>
      <c r="L76" s="22">
        <v>4.918476256055874E-5</v>
      </c>
      <c r="M76" s="25">
        <v>0</v>
      </c>
      <c r="N76" s="19">
        <v>0</v>
      </c>
      <c r="O76" s="19">
        <v>0</v>
      </c>
      <c r="P76" s="16">
        <v>0</v>
      </c>
      <c r="Q76" s="19">
        <v>0</v>
      </c>
      <c r="R76" s="16">
        <v>0</v>
      </c>
      <c r="S76" s="25">
        <v>0</v>
      </c>
      <c r="T76" s="22">
        <v>3.1591184795794582E-5</v>
      </c>
      <c r="U76" s="25">
        <v>0</v>
      </c>
      <c r="V76" s="22">
        <v>0</v>
      </c>
      <c r="W76" s="25">
        <v>0</v>
      </c>
    </row>
    <row r="77" spans="1:23" x14ac:dyDescent="0.2">
      <c r="A77" s="6" t="s">
        <v>142</v>
      </c>
      <c r="B77" s="19">
        <v>0</v>
      </c>
      <c r="C77" s="16">
        <v>0</v>
      </c>
      <c r="D77" s="19">
        <v>0</v>
      </c>
      <c r="E77" s="16">
        <v>0</v>
      </c>
      <c r="F77" s="19">
        <v>0</v>
      </c>
      <c r="G77" s="16">
        <v>0</v>
      </c>
      <c r="H77" s="22">
        <v>0</v>
      </c>
      <c r="I77" s="25">
        <v>0</v>
      </c>
      <c r="J77" s="22">
        <v>0</v>
      </c>
      <c r="K77" s="25">
        <v>0</v>
      </c>
      <c r="L77" s="22">
        <v>0</v>
      </c>
      <c r="M77" s="25">
        <v>0</v>
      </c>
      <c r="N77" s="19">
        <v>0</v>
      </c>
      <c r="O77" s="19">
        <v>0</v>
      </c>
      <c r="P77" s="16">
        <v>0</v>
      </c>
      <c r="Q77" s="19">
        <v>0</v>
      </c>
      <c r="R77" s="16">
        <v>0</v>
      </c>
      <c r="S77" s="25">
        <v>0</v>
      </c>
      <c r="T77" s="22">
        <v>1.8954710877476749E-5</v>
      </c>
      <c r="U77" s="25">
        <v>0</v>
      </c>
      <c r="V77" s="22">
        <v>0</v>
      </c>
      <c r="W77" s="25">
        <v>0</v>
      </c>
    </row>
    <row r="78" spans="1:23" x14ac:dyDescent="0.2">
      <c r="A78" s="6" t="s">
        <v>143</v>
      </c>
      <c r="B78" s="19">
        <v>0</v>
      </c>
      <c r="C78" s="16">
        <v>0</v>
      </c>
      <c r="D78" s="19">
        <v>0</v>
      </c>
      <c r="E78" s="16">
        <v>0</v>
      </c>
      <c r="F78" s="19">
        <v>0</v>
      </c>
      <c r="G78" s="16">
        <v>0</v>
      </c>
      <c r="H78" s="22">
        <v>0</v>
      </c>
      <c r="I78" s="25">
        <v>0</v>
      </c>
      <c r="J78" s="22">
        <v>6.6657778962804954E-5</v>
      </c>
      <c r="K78" s="25">
        <v>0</v>
      </c>
      <c r="L78" s="22">
        <v>0</v>
      </c>
      <c r="M78" s="25">
        <v>0</v>
      </c>
      <c r="N78" s="19">
        <v>0</v>
      </c>
      <c r="O78" s="19">
        <v>0</v>
      </c>
      <c r="P78" s="16">
        <v>0</v>
      </c>
      <c r="Q78" s="19">
        <v>0</v>
      </c>
      <c r="R78" s="16">
        <v>0</v>
      </c>
      <c r="S78" s="25">
        <v>0</v>
      </c>
      <c r="T78" s="22">
        <v>0</v>
      </c>
      <c r="U78" s="25">
        <v>0</v>
      </c>
      <c r="V78" s="22">
        <v>0</v>
      </c>
      <c r="W78" s="25">
        <v>0</v>
      </c>
    </row>
    <row r="79" spans="1:23" x14ac:dyDescent="0.2">
      <c r="A79" s="6" t="s">
        <v>144</v>
      </c>
      <c r="B79" s="19">
        <v>5.6851234861706064E-4</v>
      </c>
      <c r="C79" s="16">
        <v>3.4625079637683168E-5</v>
      </c>
      <c r="D79" s="19">
        <v>9.2378752886836021E-5</v>
      </c>
      <c r="E79" s="16">
        <v>0</v>
      </c>
      <c r="F79" s="19">
        <v>1.3732386307285032E-4</v>
      </c>
      <c r="G79" s="16">
        <v>0</v>
      </c>
      <c r="H79" s="22">
        <v>5.2862746121767055E-4</v>
      </c>
      <c r="I79" s="25">
        <v>3.7991963733772924E-4</v>
      </c>
      <c r="J79" s="22">
        <v>1.1131849086788428E-3</v>
      </c>
      <c r="K79" s="25">
        <v>6.1663851577790289E-4</v>
      </c>
      <c r="L79" s="22">
        <v>4.426628630450287E-4</v>
      </c>
      <c r="M79" s="25">
        <v>5.6534752244762228E-4</v>
      </c>
      <c r="N79" s="19">
        <v>0</v>
      </c>
      <c r="O79" s="19">
        <v>0</v>
      </c>
      <c r="P79" s="16">
        <v>2.0692955342015753E-4</v>
      </c>
      <c r="Q79" s="19">
        <v>0</v>
      </c>
      <c r="R79" s="16">
        <v>0</v>
      </c>
      <c r="S79" s="25">
        <v>7.2133808214237404E-4</v>
      </c>
      <c r="T79" s="22">
        <v>4.6754953497775978E-4</v>
      </c>
      <c r="U79" s="25">
        <v>3.3104150751209573E-4</v>
      </c>
      <c r="V79" s="22">
        <v>4.4741037613979366E-4</v>
      </c>
      <c r="W79" s="25">
        <v>3.2969297341850403E-4</v>
      </c>
    </row>
    <row r="80" spans="1:23" x14ac:dyDescent="0.2">
      <c r="A80" s="6" t="s">
        <v>145</v>
      </c>
      <c r="B80" s="19">
        <v>0</v>
      </c>
      <c r="C80" s="16">
        <v>0</v>
      </c>
      <c r="D80" s="19">
        <v>1.4212115828744005E-5</v>
      </c>
      <c r="E80" s="16">
        <v>0</v>
      </c>
      <c r="F80" s="19">
        <v>0</v>
      </c>
      <c r="G80" s="16">
        <v>0</v>
      </c>
      <c r="H80" s="22">
        <v>0</v>
      </c>
      <c r="I80" s="25">
        <v>0</v>
      </c>
      <c r="J80" s="22">
        <v>0</v>
      </c>
      <c r="K80" s="25">
        <v>0</v>
      </c>
      <c r="L80" s="22">
        <v>0</v>
      </c>
      <c r="M80" s="25">
        <v>1.9953441968739608E-5</v>
      </c>
      <c r="N80" s="19">
        <v>0</v>
      </c>
      <c r="O80" s="19">
        <v>0</v>
      </c>
      <c r="P80" s="16">
        <v>0</v>
      </c>
      <c r="Q80" s="19">
        <v>0</v>
      </c>
      <c r="R80" s="16">
        <v>0</v>
      </c>
      <c r="S80" s="25">
        <v>0</v>
      </c>
      <c r="T80" s="22">
        <v>0</v>
      </c>
      <c r="U80" s="25">
        <v>0</v>
      </c>
      <c r="V80" s="22">
        <v>0</v>
      </c>
      <c r="W80" s="25">
        <v>0</v>
      </c>
    </row>
    <row r="81" spans="1:23" x14ac:dyDescent="0.2">
      <c r="A81" s="6" t="s">
        <v>146</v>
      </c>
      <c r="B81" s="19">
        <v>5.9495478343645881E-5</v>
      </c>
      <c r="C81" s="16">
        <v>0</v>
      </c>
      <c r="D81" s="19">
        <v>4.9742405400604016E-5</v>
      </c>
      <c r="E81" s="16">
        <v>0</v>
      </c>
      <c r="F81" s="19">
        <v>0</v>
      </c>
      <c r="G81" s="16">
        <v>0</v>
      </c>
      <c r="H81" s="22">
        <v>3.9157589719827446E-5</v>
      </c>
      <c r="I81" s="25">
        <v>0</v>
      </c>
      <c r="J81" s="22">
        <v>1.9997333688841487E-5</v>
      </c>
      <c r="K81" s="25">
        <v>0</v>
      </c>
      <c r="L81" s="22">
        <v>0</v>
      </c>
      <c r="M81" s="25">
        <v>0</v>
      </c>
      <c r="N81" s="19">
        <v>0</v>
      </c>
      <c r="O81" s="19">
        <v>0</v>
      </c>
      <c r="P81" s="16">
        <v>0</v>
      </c>
      <c r="Q81" s="19">
        <v>0</v>
      </c>
      <c r="R81" s="16">
        <v>0</v>
      </c>
      <c r="S81" s="25">
        <v>4.5083630133898384E-5</v>
      </c>
      <c r="T81" s="22">
        <v>3.1591184795794582E-5</v>
      </c>
      <c r="U81" s="25">
        <v>0</v>
      </c>
      <c r="V81" s="22">
        <v>1.2603109187036441E-5</v>
      </c>
      <c r="W81" s="25">
        <v>0</v>
      </c>
    </row>
    <row r="82" spans="1:23" x14ac:dyDescent="0.2">
      <c r="A82" s="6" t="s">
        <v>147</v>
      </c>
      <c r="B82" s="19">
        <v>8.5937913163044056E-5</v>
      </c>
      <c r="C82" s="16">
        <v>6.2325143347829697E-5</v>
      </c>
      <c r="D82" s="19">
        <v>4.050453011192041E-4</v>
      </c>
      <c r="E82" s="16">
        <v>1.9699079577488706E-4</v>
      </c>
      <c r="F82" s="19">
        <v>2.1361489811332269E-4</v>
      </c>
      <c r="G82" s="16">
        <v>4.3048524296587115E-5</v>
      </c>
      <c r="H82" s="22">
        <v>4.6336481168462475E-4</v>
      </c>
      <c r="I82" s="25">
        <v>1.931794766124047E-5</v>
      </c>
      <c r="J82" s="22">
        <v>3.9994667377682974E-5</v>
      </c>
      <c r="K82" s="25">
        <v>2.0107777688409878E-5</v>
      </c>
      <c r="L82" s="22">
        <v>5.5947667412635559E-4</v>
      </c>
      <c r="M82" s="25">
        <v>2.3944130362487528E-4</v>
      </c>
      <c r="N82" s="19">
        <v>2.0319979919078667E-4</v>
      </c>
      <c r="O82" s="19">
        <v>3.238700096371076E-4</v>
      </c>
      <c r="P82" s="16">
        <v>8.4065131076938992E-5</v>
      </c>
      <c r="Q82" s="19">
        <v>0</v>
      </c>
      <c r="R82" s="16">
        <v>1.2139562118853454E-4</v>
      </c>
      <c r="S82" s="25">
        <v>0</v>
      </c>
      <c r="T82" s="22">
        <v>1.2636473918317833E-4</v>
      </c>
      <c r="U82" s="25">
        <v>0</v>
      </c>
      <c r="V82" s="22">
        <v>1.5753886483795552E-4</v>
      </c>
      <c r="W82" s="25">
        <v>2.4726973006387802E-5</v>
      </c>
    </row>
    <row r="83" spans="1:23" x14ac:dyDescent="0.2">
      <c r="A83" s="6" t="s">
        <v>148</v>
      </c>
      <c r="B83" s="19">
        <v>0</v>
      </c>
      <c r="C83" s="16">
        <v>0</v>
      </c>
      <c r="D83" s="19">
        <v>0</v>
      </c>
      <c r="E83" s="16">
        <v>0</v>
      </c>
      <c r="F83" s="19">
        <v>0</v>
      </c>
      <c r="G83" s="16">
        <v>0</v>
      </c>
      <c r="H83" s="22">
        <v>8.4841444392959466E-5</v>
      </c>
      <c r="I83" s="25">
        <v>0</v>
      </c>
      <c r="J83" s="22">
        <v>0</v>
      </c>
      <c r="K83" s="25">
        <v>0</v>
      </c>
      <c r="L83" s="22">
        <v>0</v>
      </c>
      <c r="M83" s="25">
        <v>0</v>
      </c>
      <c r="N83" s="19">
        <v>0</v>
      </c>
      <c r="O83" s="19">
        <v>0</v>
      </c>
      <c r="P83" s="16">
        <v>0</v>
      </c>
      <c r="Q83" s="19">
        <v>2.6688729349595664E-5</v>
      </c>
      <c r="R83" s="16">
        <v>0</v>
      </c>
      <c r="S83" s="25">
        <v>0</v>
      </c>
      <c r="T83" s="22">
        <v>0</v>
      </c>
      <c r="U83" s="25">
        <v>0</v>
      </c>
      <c r="V83" s="22">
        <v>0</v>
      </c>
      <c r="W83" s="25">
        <v>0</v>
      </c>
    </row>
    <row r="84" spans="1:23" x14ac:dyDescent="0.2">
      <c r="A84" s="6" t="s">
        <v>149</v>
      </c>
      <c r="B84" s="19">
        <v>0</v>
      </c>
      <c r="C84" s="16">
        <v>0</v>
      </c>
      <c r="D84" s="19">
        <v>0</v>
      </c>
      <c r="E84" s="16">
        <v>0</v>
      </c>
      <c r="F84" s="19">
        <v>3.81455175202362E-5</v>
      </c>
      <c r="G84" s="16">
        <v>0</v>
      </c>
      <c r="H84" s="22">
        <v>0</v>
      </c>
      <c r="I84" s="25">
        <v>1.931794766124047E-5</v>
      </c>
      <c r="J84" s="22">
        <v>3.9994667377682974E-5</v>
      </c>
      <c r="K84" s="25">
        <v>2.2118555457250865E-4</v>
      </c>
      <c r="L84" s="22">
        <v>0</v>
      </c>
      <c r="M84" s="25">
        <v>4.6558031260392418E-5</v>
      </c>
      <c r="N84" s="19">
        <v>0</v>
      </c>
      <c r="O84" s="19">
        <v>0</v>
      </c>
      <c r="P84" s="16">
        <v>0</v>
      </c>
      <c r="Q84" s="19">
        <v>0</v>
      </c>
      <c r="R84" s="16">
        <v>0</v>
      </c>
      <c r="S84" s="25">
        <v>1.1592933463002441E-4</v>
      </c>
      <c r="T84" s="22">
        <v>3.7909421754953497E-5</v>
      </c>
      <c r="U84" s="25">
        <v>2.5464731347084286E-4</v>
      </c>
      <c r="V84" s="22">
        <v>0</v>
      </c>
      <c r="W84" s="25">
        <v>1.4011951370286423E-4</v>
      </c>
    </row>
    <row r="85" spans="1:23" x14ac:dyDescent="0.2">
      <c r="A85" s="6" t="s">
        <v>150</v>
      </c>
      <c r="B85" s="19">
        <v>0</v>
      </c>
      <c r="C85" s="16">
        <v>0</v>
      </c>
      <c r="D85" s="19">
        <v>0</v>
      </c>
      <c r="E85" s="16">
        <v>0</v>
      </c>
      <c r="F85" s="19">
        <v>0</v>
      </c>
      <c r="G85" s="16">
        <v>0</v>
      </c>
      <c r="H85" s="22">
        <v>0</v>
      </c>
      <c r="I85" s="25">
        <v>0</v>
      </c>
      <c r="J85" s="22">
        <v>0</v>
      </c>
      <c r="K85" s="25">
        <v>0</v>
      </c>
      <c r="L85" s="22">
        <v>2.459238128027937E-5</v>
      </c>
      <c r="M85" s="25">
        <v>7.9813767874958432E-5</v>
      </c>
      <c r="N85" s="19">
        <v>0</v>
      </c>
      <c r="O85" s="19">
        <v>0</v>
      </c>
      <c r="P85" s="16">
        <v>0</v>
      </c>
      <c r="Q85" s="19">
        <v>0</v>
      </c>
      <c r="R85" s="16">
        <v>0</v>
      </c>
      <c r="S85" s="25">
        <v>0</v>
      </c>
      <c r="T85" s="22">
        <v>2.1482005661140315E-4</v>
      </c>
      <c r="U85" s="25">
        <v>7.6394194041252861E-5</v>
      </c>
      <c r="V85" s="22">
        <v>0</v>
      </c>
      <c r="W85" s="25">
        <v>0</v>
      </c>
    </row>
    <row r="86" spans="1:23" x14ac:dyDescent="0.2">
      <c r="A86" s="6" t="s">
        <v>151</v>
      </c>
      <c r="B86" s="19">
        <v>0</v>
      </c>
      <c r="C86" s="16">
        <v>1.3850031855073266E-5</v>
      </c>
      <c r="D86" s="19">
        <v>0</v>
      </c>
      <c r="E86" s="16">
        <v>0</v>
      </c>
      <c r="F86" s="19">
        <v>0</v>
      </c>
      <c r="G86" s="16">
        <v>0</v>
      </c>
      <c r="H86" s="22">
        <v>0</v>
      </c>
      <c r="I86" s="25">
        <v>0</v>
      </c>
      <c r="J86" s="22">
        <v>0</v>
      </c>
      <c r="K86" s="25">
        <v>0</v>
      </c>
      <c r="L86" s="22">
        <v>0</v>
      </c>
      <c r="M86" s="25">
        <v>0</v>
      </c>
      <c r="N86" s="19">
        <v>0</v>
      </c>
      <c r="O86" s="19">
        <v>0</v>
      </c>
      <c r="P86" s="16">
        <v>0</v>
      </c>
      <c r="Q86" s="19">
        <v>0</v>
      </c>
      <c r="R86" s="16">
        <v>0</v>
      </c>
      <c r="S86" s="25">
        <v>0</v>
      </c>
      <c r="T86" s="22">
        <v>0</v>
      </c>
      <c r="U86" s="25">
        <v>0</v>
      </c>
      <c r="V86" s="22">
        <v>0</v>
      </c>
      <c r="W86" s="25">
        <v>0</v>
      </c>
    </row>
    <row r="87" spans="1:23" x14ac:dyDescent="0.2">
      <c r="A87" s="6" t="s">
        <v>152</v>
      </c>
      <c r="B87" s="19">
        <v>2.2343857422391466E-3</v>
      </c>
      <c r="C87" s="16">
        <v>2.0775047782609901E-4</v>
      </c>
      <c r="D87" s="19">
        <v>1.7338781311067688E-3</v>
      </c>
      <c r="E87" s="16">
        <v>3.7360323336616512E-4</v>
      </c>
      <c r="F87" s="19">
        <v>1.1008796356340165E-2</v>
      </c>
      <c r="G87" s="16">
        <v>1.3775527774907877E-4</v>
      </c>
      <c r="H87" s="22">
        <v>3.5241830747844701E-4</v>
      </c>
      <c r="I87" s="25">
        <v>6.439315887080157E-5</v>
      </c>
      <c r="J87" s="22">
        <v>2.6663111585121987E-4</v>
      </c>
      <c r="K87" s="25">
        <v>1.2734925869326255E-4</v>
      </c>
      <c r="L87" s="22">
        <v>5.1644000688586672E-4</v>
      </c>
      <c r="M87" s="25">
        <v>7.6488194213501835E-4</v>
      </c>
      <c r="N87" s="19">
        <v>1.5000926352025724E-3</v>
      </c>
      <c r="O87" s="19">
        <v>7.9782612130116742E-4</v>
      </c>
      <c r="P87" s="16">
        <v>1.0540474127339271E-3</v>
      </c>
      <c r="Q87" s="19">
        <v>1.6013237609757399E-4</v>
      </c>
      <c r="R87" s="16">
        <v>3.2848226909838757E-4</v>
      </c>
      <c r="S87" s="25">
        <v>1.0304829744891057E-4</v>
      </c>
      <c r="T87" s="22">
        <v>7.5818843509906994E-5</v>
      </c>
      <c r="U87" s="25">
        <v>5.0929462694168576E-5</v>
      </c>
      <c r="V87" s="22">
        <v>5.3563214044904874E-4</v>
      </c>
      <c r="W87" s="25">
        <v>0</v>
      </c>
    </row>
    <row r="88" spans="1:23" x14ac:dyDescent="0.2">
      <c r="A88" s="6" t="s">
        <v>153</v>
      </c>
      <c r="B88" s="19">
        <v>1.1899095668729176E-4</v>
      </c>
      <c r="C88" s="16">
        <v>0</v>
      </c>
      <c r="D88" s="19">
        <v>4.2636347486232012E-5</v>
      </c>
      <c r="E88" s="16">
        <v>0</v>
      </c>
      <c r="F88" s="19">
        <v>1.0680744905666136E-4</v>
      </c>
      <c r="G88" s="16">
        <v>0</v>
      </c>
      <c r="H88" s="22">
        <v>0</v>
      </c>
      <c r="I88" s="25">
        <v>0</v>
      </c>
      <c r="J88" s="22">
        <v>0</v>
      </c>
      <c r="K88" s="25">
        <v>0</v>
      </c>
      <c r="L88" s="22">
        <v>0</v>
      </c>
      <c r="M88" s="25">
        <v>0</v>
      </c>
      <c r="N88" s="19">
        <v>0</v>
      </c>
      <c r="O88" s="19">
        <v>0</v>
      </c>
      <c r="P88" s="16">
        <v>0</v>
      </c>
      <c r="Q88" s="19">
        <v>0</v>
      </c>
      <c r="R88" s="16">
        <v>1.4281837786886417E-5</v>
      </c>
      <c r="S88" s="25">
        <v>0</v>
      </c>
      <c r="T88" s="22">
        <v>2.5272947836635664E-5</v>
      </c>
      <c r="U88" s="25">
        <v>0</v>
      </c>
      <c r="V88" s="22">
        <v>0</v>
      </c>
      <c r="W88" s="25">
        <v>0</v>
      </c>
    </row>
    <row r="89" spans="1:23" x14ac:dyDescent="0.2">
      <c r="A89" s="6" t="s">
        <v>154</v>
      </c>
      <c r="B89" s="19">
        <v>1.6473636892485075E-2</v>
      </c>
      <c r="C89" s="16">
        <v>5.0206365474640595E-3</v>
      </c>
      <c r="D89" s="19">
        <v>4.0788772428495285E-3</v>
      </c>
      <c r="E89" s="16">
        <v>1.6438542268111262E-3</v>
      </c>
      <c r="F89" s="19">
        <v>8.353868336931726E-3</v>
      </c>
      <c r="G89" s="16">
        <v>1.2397974997417093E-3</v>
      </c>
      <c r="H89" s="22">
        <v>2.2189300841235553E-4</v>
      </c>
      <c r="I89" s="25">
        <v>2.5692870389449822E-3</v>
      </c>
      <c r="J89" s="22">
        <v>2.5796560458605524E-3</v>
      </c>
      <c r="K89" s="25">
        <v>1.9035362878361351E-3</v>
      </c>
      <c r="L89" s="22">
        <v>7.0272729508398264E-3</v>
      </c>
      <c r="M89" s="25">
        <v>4.6558031260392418E-5</v>
      </c>
      <c r="N89" s="19">
        <v>1.5634431608326407E-2</v>
      </c>
      <c r="O89" s="19">
        <v>1.3902712608812426E-3</v>
      </c>
      <c r="P89" s="16">
        <v>6.8998072968533778E-3</v>
      </c>
      <c r="Q89" s="19">
        <v>5.0441698470735808E-3</v>
      </c>
      <c r="R89" s="16">
        <v>9.3260400748368267E-3</v>
      </c>
      <c r="S89" s="25">
        <v>2.891792847160052E-3</v>
      </c>
      <c r="T89" s="22">
        <v>6.9753336029114415E-3</v>
      </c>
      <c r="U89" s="25">
        <v>1.9607843137254902E-3</v>
      </c>
      <c r="V89" s="22">
        <v>1.0334549533369882E-3</v>
      </c>
      <c r="W89" s="25">
        <v>3.0826293014630125E-3</v>
      </c>
    </row>
    <row r="90" spans="1:23" x14ac:dyDescent="0.2">
      <c r="A90" s="6" t="s">
        <v>155</v>
      </c>
      <c r="B90" s="19">
        <v>2.3798191337458352E-4</v>
      </c>
      <c r="C90" s="16">
        <v>5.5400127420293065E-5</v>
      </c>
      <c r="D90" s="19">
        <v>2.6292414283176409E-4</v>
      </c>
      <c r="E90" s="16">
        <v>8.8306218795639028E-5</v>
      </c>
      <c r="F90" s="19">
        <v>8.6208869595733799E-4</v>
      </c>
      <c r="G90" s="16">
        <v>3.9604642352860145E-4</v>
      </c>
      <c r="H90" s="22">
        <v>1.0637811873886456E-3</v>
      </c>
      <c r="I90" s="25">
        <v>0</v>
      </c>
      <c r="J90" s="22">
        <v>1.8664178109585388E-4</v>
      </c>
      <c r="K90" s="25">
        <v>1.742674066328856E-4</v>
      </c>
      <c r="L90" s="22">
        <v>8.6073334480977787E-5</v>
      </c>
      <c r="M90" s="25">
        <v>2.128367143332225E-4</v>
      </c>
      <c r="N90" s="19">
        <v>1.9722333450870473E-4</v>
      </c>
      <c r="O90" s="19">
        <v>5.2925099135820016E-4</v>
      </c>
      <c r="P90" s="16">
        <v>2.1339610196453745E-4</v>
      </c>
      <c r="Q90" s="19">
        <v>2.8023165817075448E-4</v>
      </c>
      <c r="R90" s="16">
        <v>1.2139562118853453E-4</v>
      </c>
      <c r="S90" s="25">
        <v>0</v>
      </c>
      <c r="T90" s="22">
        <v>3.7909421754953497E-5</v>
      </c>
      <c r="U90" s="25">
        <v>1.3368983957219252E-4</v>
      </c>
      <c r="V90" s="22">
        <v>4.6631503992034836E-4</v>
      </c>
      <c r="W90" s="25">
        <v>0</v>
      </c>
    </row>
    <row r="91" spans="1:23" x14ac:dyDescent="0.2">
      <c r="A91" s="6" t="s">
        <v>156</v>
      </c>
      <c r="B91" s="19">
        <v>0</v>
      </c>
      <c r="C91" s="16">
        <v>9.6950222985512865E-5</v>
      </c>
      <c r="D91" s="19">
        <v>4.9742405400604016E-5</v>
      </c>
      <c r="E91" s="16">
        <v>0</v>
      </c>
      <c r="F91" s="19">
        <v>0</v>
      </c>
      <c r="G91" s="16">
        <v>0</v>
      </c>
      <c r="H91" s="22">
        <v>0</v>
      </c>
      <c r="I91" s="25">
        <v>0</v>
      </c>
      <c r="J91" s="22">
        <v>5.9992001066524464E-5</v>
      </c>
      <c r="K91" s="25">
        <v>1.2734925869326255E-4</v>
      </c>
      <c r="L91" s="22">
        <v>4.918476256055874E-5</v>
      </c>
      <c r="M91" s="25">
        <v>4.5892916528101095E-4</v>
      </c>
      <c r="N91" s="19">
        <v>1.4343515236996706E-4</v>
      </c>
      <c r="O91" s="19">
        <v>0</v>
      </c>
      <c r="P91" s="16">
        <v>0</v>
      </c>
      <c r="Q91" s="19">
        <v>0</v>
      </c>
      <c r="R91" s="16">
        <v>0</v>
      </c>
      <c r="S91" s="25">
        <v>9.7895882576465049E-4</v>
      </c>
      <c r="T91" s="22">
        <v>1.3015568135867368E-3</v>
      </c>
      <c r="U91" s="25">
        <v>8.339699516170104E-4</v>
      </c>
      <c r="V91" s="22">
        <v>0</v>
      </c>
      <c r="W91" s="25">
        <v>2.2254275705749021E-4</v>
      </c>
    </row>
    <row r="92" spans="1:23" x14ac:dyDescent="0.2">
      <c r="A92" s="6" t="s">
        <v>157</v>
      </c>
      <c r="B92" s="19">
        <v>0</v>
      </c>
      <c r="C92" s="16">
        <v>0</v>
      </c>
      <c r="D92" s="19">
        <v>0</v>
      </c>
      <c r="E92" s="16">
        <v>0</v>
      </c>
      <c r="F92" s="19">
        <v>3.8908427870640923E-4</v>
      </c>
      <c r="G92" s="16">
        <v>5.1658229155904537E-5</v>
      </c>
      <c r="H92" s="22">
        <v>0</v>
      </c>
      <c r="I92" s="25">
        <v>0</v>
      </c>
      <c r="J92" s="22">
        <v>0</v>
      </c>
      <c r="K92" s="25">
        <v>0</v>
      </c>
      <c r="L92" s="22">
        <v>4.3036667240488894E-5</v>
      </c>
      <c r="M92" s="25">
        <v>0</v>
      </c>
      <c r="N92" s="19">
        <v>0</v>
      </c>
      <c r="O92" s="19">
        <v>0</v>
      </c>
      <c r="P92" s="16">
        <v>0</v>
      </c>
      <c r="Q92" s="19">
        <v>0</v>
      </c>
      <c r="R92" s="16">
        <v>0</v>
      </c>
      <c r="S92" s="25">
        <v>0</v>
      </c>
      <c r="T92" s="22">
        <v>0</v>
      </c>
      <c r="U92" s="25">
        <v>0</v>
      </c>
      <c r="V92" s="22">
        <v>0</v>
      </c>
      <c r="W92" s="25">
        <v>0</v>
      </c>
    </row>
    <row r="93" spans="1:23" x14ac:dyDescent="0.2">
      <c r="A93" s="6" t="s">
        <v>158</v>
      </c>
      <c r="B93" s="19">
        <v>0</v>
      </c>
      <c r="C93" s="16">
        <v>0</v>
      </c>
      <c r="D93" s="19">
        <v>2.1318173743116006E-5</v>
      </c>
      <c r="E93" s="16">
        <v>1.3585572122406004E-5</v>
      </c>
      <c r="F93" s="19">
        <v>0</v>
      </c>
      <c r="G93" s="16">
        <v>0</v>
      </c>
      <c r="H93" s="22">
        <v>0</v>
      </c>
      <c r="I93" s="25">
        <v>0</v>
      </c>
      <c r="J93" s="22">
        <v>0</v>
      </c>
      <c r="K93" s="25">
        <v>0</v>
      </c>
      <c r="L93" s="22">
        <v>0</v>
      </c>
      <c r="M93" s="25">
        <v>0</v>
      </c>
      <c r="N93" s="19">
        <v>0</v>
      </c>
      <c r="O93" s="19">
        <v>0</v>
      </c>
      <c r="P93" s="16">
        <v>0</v>
      </c>
      <c r="Q93" s="19">
        <v>0</v>
      </c>
      <c r="R93" s="16">
        <v>0</v>
      </c>
      <c r="S93" s="25">
        <v>0</v>
      </c>
      <c r="T93" s="22">
        <v>0</v>
      </c>
      <c r="U93" s="25">
        <v>0</v>
      </c>
      <c r="V93" s="22">
        <v>0</v>
      </c>
      <c r="W93" s="25">
        <v>0</v>
      </c>
    </row>
    <row r="94" spans="1:23" x14ac:dyDescent="0.2">
      <c r="A94" s="6" t="s">
        <v>159</v>
      </c>
      <c r="B94" s="19">
        <v>0</v>
      </c>
      <c r="C94" s="16">
        <v>0</v>
      </c>
      <c r="D94" s="19">
        <v>0</v>
      </c>
      <c r="E94" s="16">
        <v>0</v>
      </c>
      <c r="F94" s="19">
        <v>0</v>
      </c>
      <c r="G94" s="16">
        <v>0</v>
      </c>
      <c r="H94" s="22">
        <v>2.6105059813218297E-5</v>
      </c>
      <c r="I94" s="25">
        <v>0</v>
      </c>
      <c r="J94" s="22">
        <v>0</v>
      </c>
      <c r="K94" s="25">
        <v>0</v>
      </c>
      <c r="L94" s="22">
        <v>0</v>
      </c>
      <c r="M94" s="25">
        <v>0</v>
      </c>
      <c r="N94" s="19">
        <v>0</v>
      </c>
      <c r="O94" s="19">
        <v>0</v>
      </c>
      <c r="P94" s="16">
        <v>3.8799291266279534E-5</v>
      </c>
      <c r="Q94" s="19">
        <v>0</v>
      </c>
      <c r="R94" s="16">
        <v>0</v>
      </c>
      <c r="S94" s="25">
        <v>0</v>
      </c>
      <c r="T94" s="22">
        <v>0</v>
      </c>
      <c r="U94" s="25">
        <v>0</v>
      </c>
      <c r="V94" s="22">
        <v>0</v>
      </c>
      <c r="W94" s="25">
        <v>1.6484648670925202E-5</v>
      </c>
    </row>
    <row r="95" spans="1:23" x14ac:dyDescent="0.2">
      <c r="A95" s="6" t="s">
        <v>160</v>
      </c>
      <c r="B95" s="19">
        <v>0</v>
      </c>
      <c r="C95" s="16">
        <v>0</v>
      </c>
      <c r="D95" s="19">
        <v>0</v>
      </c>
      <c r="E95" s="16">
        <v>0</v>
      </c>
      <c r="F95" s="19">
        <v>0</v>
      </c>
      <c r="G95" s="16">
        <v>3.4438819437269692E-5</v>
      </c>
      <c r="H95" s="22">
        <v>5.2210119626436595E-5</v>
      </c>
      <c r="I95" s="25">
        <v>0</v>
      </c>
      <c r="J95" s="22">
        <v>0</v>
      </c>
      <c r="K95" s="25">
        <v>2.6810370251213168E-5</v>
      </c>
      <c r="L95" s="22">
        <v>0</v>
      </c>
      <c r="M95" s="25">
        <v>2.660458929165281E-5</v>
      </c>
      <c r="N95" s="19">
        <v>0</v>
      </c>
      <c r="O95" s="19">
        <v>2.3697805583202996E-5</v>
      </c>
      <c r="P95" s="16">
        <v>0</v>
      </c>
      <c r="Q95" s="19">
        <v>0</v>
      </c>
      <c r="R95" s="16">
        <v>0</v>
      </c>
      <c r="S95" s="25">
        <v>1.9321555771670734E-5</v>
      </c>
      <c r="T95" s="22">
        <v>8.8455317428224825E-5</v>
      </c>
      <c r="U95" s="25">
        <v>0</v>
      </c>
      <c r="V95" s="22">
        <v>7.5618655122218647E-5</v>
      </c>
      <c r="W95" s="25">
        <v>1.6484648670925202E-5</v>
      </c>
    </row>
    <row r="96" spans="1:23" x14ac:dyDescent="0.2">
      <c r="A96" s="6" t="s">
        <v>161</v>
      </c>
      <c r="B96" s="19">
        <v>0</v>
      </c>
      <c r="C96" s="16">
        <v>0</v>
      </c>
      <c r="D96" s="19">
        <v>1.3501510037306803E-4</v>
      </c>
      <c r="E96" s="16">
        <v>0</v>
      </c>
      <c r="F96" s="19">
        <v>0</v>
      </c>
      <c r="G96" s="16">
        <v>0</v>
      </c>
      <c r="H96" s="22">
        <v>0</v>
      </c>
      <c r="I96" s="25">
        <v>0</v>
      </c>
      <c r="J96" s="22">
        <v>0</v>
      </c>
      <c r="K96" s="25">
        <v>0</v>
      </c>
      <c r="L96" s="22">
        <v>0</v>
      </c>
      <c r="M96" s="25">
        <v>0</v>
      </c>
      <c r="N96" s="19">
        <v>0</v>
      </c>
      <c r="O96" s="19">
        <v>0</v>
      </c>
      <c r="P96" s="16">
        <v>0</v>
      </c>
      <c r="Q96" s="19">
        <v>0</v>
      </c>
      <c r="R96" s="16">
        <v>0</v>
      </c>
      <c r="S96" s="25">
        <v>0</v>
      </c>
      <c r="T96" s="22">
        <v>0</v>
      </c>
      <c r="U96" s="25">
        <v>0</v>
      </c>
      <c r="V96" s="22">
        <v>0</v>
      </c>
      <c r="W96" s="25">
        <v>0</v>
      </c>
    </row>
    <row r="97" spans="1:23" x14ac:dyDescent="0.2">
      <c r="A97" s="6" t="s">
        <v>162</v>
      </c>
      <c r="B97" s="19">
        <v>0</v>
      </c>
      <c r="C97" s="16">
        <v>0</v>
      </c>
      <c r="D97" s="19">
        <v>1.4212115828744005E-5</v>
      </c>
      <c r="E97" s="16">
        <v>0</v>
      </c>
      <c r="F97" s="19">
        <v>0</v>
      </c>
      <c r="G97" s="16">
        <v>0</v>
      </c>
      <c r="H97" s="22">
        <v>0</v>
      </c>
      <c r="I97" s="25">
        <v>0</v>
      </c>
      <c r="J97" s="22">
        <v>0</v>
      </c>
      <c r="K97" s="25">
        <v>0</v>
      </c>
      <c r="L97" s="22">
        <v>0</v>
      </c>
      <c r="M97" s="25">
        <v>0</v>
      </c>
      <c r="N97" s="19">
        <v>0</v>
      </c>
      <c r="O97" s="19">
        <v>0</v>
      </c>
      <c r="P97" s="16">
        <v>0</v>
      </c>
      <c r="Q97" s="19">
        <v>0</v>
      </c>
      <c r="R97" s="16">
        <v>0</v>
      </c>
      <c r="S97" s="25">
        <v>0</v>
      </c>
      <c r="T97" s="22">
        <v>0</v>
      </c>
      <c r="U97" s="25">
        <v>0</v>
      </c>
      <c r="V97" s="22">
        <v>0</v>
      </c>
      <c r="W97" s="25">
        <v>0</v>
      </c>
    </row>
    <row r="98" spans="1:23" x14ac:dyDescent="0.2">
      <c r="A98" s="6" t="s">
        <v>163</v>
      </c>
      <c r="B98" s="19">
        <v>9.2548521867893608E-5</v>
      </c>
      <c r="C98" s="16">
        <v>7.6175175202902962E-5</v>
      </c>
      <c r="D98" s="19">
        <v>1.4212115828744005E-5</v>
      </c>
      <c r="E98" s="16">
        <v>2.7171144244812009E-5</v>
      </c>
      <c r="F98" s="19">
        <v>6.8661931536425158E-5</v>
      </c>
      <c r="G98" s="16">
        <v>3.3577848951337949E-4</v>
      </c>
      <c r="H98" s="22">
        <v>6.9831035000358932E-4</v>
      </c>
      <c r="I98" s="25">
        <v>1.4810426540284361E-4</v>
      </c>
      <c r="J98" s="22">
        <v>1.1331822423676844E-4</v>
      </c>
      <c r="K98" s="25">
        <v>3.3512962814016462E-5</v>
      </c>
      <c r="L98" s="22">
        <v>1.2296190640139685E-4</v>
      </c>
      <c r="M98" s="25">
        <v>0</v>
      </c>
      <c r="N98" s="19">
        <v>2.5698798132952434E-4</v>
      </c>
      <c r="O98" s="19">
        <v>3.9496342638671656E-5</v>
      </c>
      <c r="P98" s="16">
        <v>1.9399645633139767E-5</v>
      </c>
      <c r="Q98" s="19">
        <v>1.6013237609757399E-4</v>
      </c>
      <c r="R98" s="16">
        <v>1.1425470229509132E-4</v>
      </c>
      <c r="S98" s="25">
        <v>9.0167260267796768E-5</v>
      </c>
      <c r="T98" s="22">
        <v>1.6427416093813183E-4</v>
      </c>
      <c r="U98" s="25">
        <v>2.9284441049146927E-4</v>
      </c>
      <c r="V98" s="22">
        <v>5.6713991341663999E-4</v>
      </c>
      <c r="W98" s="25">
        <v>3.7914691943127961E-4</v>
      </c>
    </row>
    <row r="99" spans="1:23" x14ac:dyDescent="0.2">
      <c r="A99" s="6" t="s">
        <v>164</v>
      </c>
      <c r="B99" s="19">
        <v>1.9765720027500131E-3</v>
      </c>
      <c r="C99" s="16">
        <v>1.1772527076812277E-4</v>
      </c>
      <c r="D99" s="19">
        <v>1.7623023627642571E-3</v>
      </c>
      <c r="E99" s="16">
        <v>4.9587338246781922E-4</v>
      </c>
      <c r="F99" s="19">
        <v>6.0651372857175563E-3</v>
      </c>
      <c r="G99" s="16">
        <v>1.7219409718634846E-4</v>
      </c>
      <c r="H99" s="22">
        <v>6.9831035000358943E-4</v>
      </c>
      <c r="I99" s="25">
        <v>5.9241706161137445E-4</v>
      </c>
      <c r="J99" s="22">
        <v>6.932409012131715E-4</v>
      </c>
      <c r="K99" s="25">
        <v>2.8821148020054152E-4</v>
      </c>
      <c r="L99" s="22">
        <v>1.4140619236160636E-4</v>
      </c>
      <c r="M99" s="25">
        <v>2.3944130362487528E-4</v>
      </c>
      <c r="N99" s="19">
        <v>2.2351977910986536E-3</v>
      </c>
      <c r="O99" s="19">
        <v>7.5043051013476154E-4</v>
      </c>
      <c r="P99" s="16">
        <v>2.101628276923475E-3</v>
      </c>
      <c r="Q99" s="19">
        <v>6.2718513971549812E-4</v>
      </c>
      <c r="R99" s="16">
        <v>5.2842799811479745E-4</v>
      </c>
      <c r="S99" s="25">
        <v>4.1863370838619927E-4</v>
      </c>
      <c r="T99" s="22">
        <v>4.4227658714112412E-5</v>
      </c>
      <c r="U99" s="25">
        <v>3.819709702062643E-5</v>
      </c>
      <c r="V99" s="22">
        <v>1.8400539413073211E-3</v>
      </c>
      <c r="W99" s="25">
        <v>7.4180919019163407E-5</v>
      </c>
    </row>
    <row r="100" spans="1:23" x14ac:dyDescent="0.2">
      <c r="A100" s="6" t="s">
        <v>165</v>
      </c>
      <c r="B100" s="19">
        <v>0</v>
      </c>
      <c r="C100" s="16">
        <v>0</v>
      </c>
      <c r="D100" s="19">
        <v>0</v>
      </c>
      <c r="E100" s="16">
        <v>0</v>
      </c>
      <c r="F100" s="19">
        <v>0</v>
      </c>
      <c r="G100" s="16">
        <v>0</v>
      </c>
      <c r="H100" s="22">
        <v>1.9578794859913723E-5</v>
      </c>
      <c r="I100" s="25">
        <v>0</v>
      </c>
      <c r="J100" s="22">
        <v>0</v>
      </c>
      <c r="K100" s="25">
        <v>0</v>
      </c>
      <c r="L100" s="22">
        <v>0</v>
      </c>
      <c r="M100" s="25">
        <v>0</v>
      </c>
      <c r="N100" s="19">
        <v>0</v>
      </c>
      <c r="O100" s="19">
        <v>0</v>
      </c>
      <c r="P100" s="16">
        <v>0</v>
      </c>
      <c r="Q100" s="19">
        <v>0</v>
      </c>
      <c r="R100" s="16">
        <v>0</v>
      </c>
      <c r="S100" s="25">
        <v>0</v>
      </c>
      <c r="T100" s="22">
        <v>8.2137080469065916E-5</v>
      </c>
      <c r="U100" s="25">
        <v>0</v>
      </c>
      <c r="V100" s="22">
        <v>0</v>
      </c>
      <c r="W100" s="25">
        <v>0</v>
      </c>
    </row>
    <row r="101" spans="1:23" x14ac:dyDescent="0.2">
      <c r="A101" s="6" t="s">
        <v>166</v>
      </c>
      <c r="B101" s="19">
        <v>4.429107832249193E-4</v>
      </c>
      <c r="C101" s="16">
        <v>1.5858286474058892E-3</v>
      </c>
      <c r="D101" s="19">
        <v>2.6292414283176409E-4</v>
      </c>
      <c r="E101" s="16">
        <v>5.7738681520225514E-4</v>
      </c>
      <c r="F101" s="19">
        <v>3.1279324366593683E-4</v>
      </c>
      <c r="G101" s="16">
        <v>2.3848882460309265E-3</v>
      </c>
      <c r="H101" s="22">
        <v>1.8926168364583266E-4</v>
      </c>
      <c r="I101" s="25">
        <v>7.0832474757881719E-4</v>
      </c>
      <c r="J101" s="22">
        <v>7.8656179176109849E-4</v>
      </c>
      <c r="K101" s="25">
        <v>1.1662511059277727E-3</v>
      </c>
      <c r="L101" s="22">
        <v>4.0577429112460958E-4</v>
      </c>
      <c r="M101" s="25">
        <v>2.7136681077485855E-3</v>
      </c>
      <c r="N101" s="19">
        <v>1.7451276871679328E-3</v>
      </c>
      <c r="O101" s="19">
        <v>3.0728154572886553E-3</v>
      </c>
      <c r="P101" s="16">
        <v>1.0411143156451677E-3</v>
      </c>
      <c r="Q101" s="19">
        <v>1.5746350316261436E-3</v>
      </c>
      <c r="R101" s="16">
        <v>2.3850669104100311E-3</v>
      </c>
      <c r="S101" s="25">
        <v>6.63373414827362E-4</v>
      </c>
      <c r="T101" s="22">
        <v>2.1671552769915092E-3</v>
      </c>
      <c r="U101" s="25">
        <v>3.4632034632034628E-3</v>
      </c>
      <c r="V101" s="22">
        <v>5.2302903126201223E-4</v>
      </c>
      <c r="W101" s="25">
        <v>2.2254275705749026E-4</v>
      </c>
    </row>
    <row r="102" spans="1:23" x14ac:dyDescent="0.2">
      <c r="A102" s="6" t="s">
        <v>167</v>
      </c>
      <c r="B102" s="19">
        <v>5.2884869638796342E-5</v>
      </c>
      <c r="C102" s="16">
        <v>0</v>
      </c>
      <c r="D102" s="19">
        <v>6.3954521229348018E-5</v>
      </c>
      <c r="E102" s="16">
        <v>6.792786061203002E-5</v>
      </c>
      <c r="F102" s="19">
        <v>3.0516414016188958E-5</v>
      </c>
      <c r="G102" s="16">
        <v>1.2053586803044392E-4</v>
      </c>
      <c r="H102" s="22">
        <v>2.3494553831896468E-4</v>
      </c>
      <c r="I102" s="25">
        <v>1.2878631774160313E-5</v>
      </c>
      <c r="J102" s="22">
        <v>2.999600053326223E-4</v>
      </c>
      <c r="K102" s="25">
        <v>1.742674066328856E-4</v>
      </c>
      <c r="L102" s="22">
        <v>0</v>
      </c>
      <c r="M102" s="25">
        <v>2.660458929165281E-5</v>
      </c>
      <c r="N102" s="19">
        <v>1.1355282895955727E-4</v>
      </c>
      <c r="O102" s="19">
        <v>0</v>
      </c>
      <c r="P102" s="16">
        <v>2.5866194177519691E-5</v>
      </c>
      <c r="Q102" s="19">
        <v>1.0675491739838266E-4</v>
      </c>
      <c r="R102" s="16">
        <v>3.5704594467216042E-5</v>
      </c>
      <c r="S102" s="25">
        <v>3.2202592952784557E-5</v>
      </c>
      <c r="T102" s="22">
        <v>2.5272947836635664E-5</v>
      </c>
      <c r="U102" s="25">
        <v>0</v>
      </c>
      <c r="V102" s="22">
        <v>2.0795130158610128E-4</v>
      </c>
      <c r="W102" s="25">
        <v>0</v>
      </c>
    </row>
    <row r="103" spans="1:23" x14ac:dyDescent="0.2">
      <c r="A103" s="6" t="s">
        <v>168</v>
      </c>
      <c r="B103" s="19">
        <v>2.9410598127875623E-2</v>
      </c>
      <c r="C103" s="16">
        <v>3.8565413700451495E-2</v>
      </c>
      <c r="D103" s="19">
        <v>4.5258482856635279E-2</v>
      </c>
      <c r="E103" s="16">
        <v>3.6606324083822972E-2</v>
      </c>
      <c r="F103" s="19">
        <v>3.405631804206688E-2</v>
      </c>
      <c r="G103" s="16">
        <v>2.3272032234735004E-2</v>
      </c>
      <c r="H103" s="22">
        <v>3.3192583552507059E-2</v>
      </c>
      <c r="I103" s="25">
        <v>3.2840511024108801E-2</v>
      </c>
      <c r="J103" s="22">
        <v>4.3054259432075706E-2</v>
      </c>
      <c r="K103" s="25">
        <v>4.5048124614600914E-2</v>
      </c>
      <c r="L103" s="22">
        <v>2.5908073678774308E-2</v>
      </c>
      <c r="M103" s="25">
        <v>2.5414033920851342E-2</v>
      </c>
      <c r="N103" s="19">
        <v>2.5949809649599864E-2</v>
      </c>
      <c r="O103" s="19">
        <v>4.016778046352909E-2</v>
      </c>
      <c r="P103" s="16">
        <v>2.5782129046442753E-2</v>
      </c>
      <c r="Q103" s="19">
        <v>3.8511836451466545E-2</v>
      </c>
      <c r="R103" s="16">
        <v>3.1241520158814023E-2</v>
      </c>
      <c r="S103" s="25">
        <v>2.6612222816181159E-2</v>
      </c>
      <c r="T103" s="22">
        <v>3.7517691063485584E-2</v>
      </c>
      <c r="U103" s="25">
        <v>4.4130379424497095E-2</v>
      </c>
      <c r="V103" s="22">
        <v>4.0077887214775884E-2</v>
      </c>
      <c r="W103" s="25">
        <v>4.5472903358747187E-2</v>
      </c>
    </row>
    <row r="104" spans="1:23" x14ac:dyDescent="0.2">
      <c r="A104" s="6" t="s">
        <v>169</v>
      </c>
      <c r="B104" s="19">
        <v>1.2560156539214131E-4</v>
      </c>
      <c r="C104" s="16">
        <v>8.3100191130439601E-5</v>
      </c>
      <c r="D104" s="19">
        <v>2.2028779534553206E-4</v>
      </c>
      <c r="E104" s="16">
        <v>1.3585572122406004E-4</v>
      </c>
      <c r="F104" s="19">
        <v>6.8661931536425158E-5</v>
      </c>
      <c r="G104" s="16">
        <v>6.8877638874539383E-5</v>
      </c>
      <c r="H104" s="22">
        <v>1.1094650420617776E-4</v>
      </c>
      <c r="I104" s="25">
        <v>0</v>
      </c>
      <c r="J104" s="22">
        <v>3.9994667377682974E-5</v>
      </c>
      <c r="K104" s="25">
        <v>8.0431110753639512E-5</v>
      </c>
      <c r="L104" s="22">
        <v>2.1518333620244449E-4</v>
      </c>
      <c r="M104" s="25">
        <v>1.5962753574991686E-4</v>
      </c>
      <c r="N104" s="19">
        <v>5.9764646820819608E-5</v>
      </c>
      <c r="O104" s="19">
        <v>1.8958244466562397E-4</v>
      </c>
      <c r="P104" s="16">
        <v>7.7598582532559067E-5</v>
      </c>
      <c r="Q104" s="19">
        <v>3.736422108943393E-4</v>
      </c>
      <c r="R104" s="16">
        <v>2.3565032348362588E-4</v>
      </c>
      <c r="S104" s="25">
        <v>0</v>
      </c>
      <c r="T104" s="22">
        <v>3.538212697128993E-4</v>
      </c>
      <c r="U104" s="25">
        <v>8.2760376878023934E-5</v>
      </c>
      <c r="V104" s="22">
        <v>2.5206218374072882E-5</v>
      </c>
      <c r="W104" s="25">
        <v>0</v>
      </c>
    </row>
    <row r="105" spans="1:23" x14ac:dyDescent="0.2">
      <c r="A105" s="6" t="s">
        <v>58</v>
      </c>
      <c r="B105" s="19">
        <v>2.2476069596488445E-4</v>
      </c>
      <c r="C105" s="16">
        <v>1.8697543004348911E-4</v>
      </c>
      <c r="D105" s="19">
        <v>1.5349085095043527E-3</v>
      </c>
      <c r="E105" s="16">
        <v>8.8985497401759329E-4</v>
      </c>
      <c r="F105" s="19">
        <v>3.4330965768212575E-4</v>
      </c>
      <c r="G105" s="16">
        <v>8.0070255191652033E-4</v>
      </c>
      <c r="H105" s="22">
        <v>6.3304770047054384E-4</v>
      </c>
      <c r="I105" s="25">
        <v>6.439315887080157E-5</v>
      </c>
      <c r="J105" s="22">
        <v>3.599520063991467E-4</v>
      </c>
      <c r="K105" s="25">
        <v>8.5122925547601817E-4</v>
      </c>
      <c r="L105" s="22">
        <v>6.7629048520768267E-5</v>
      </c>
      <c r="M105" s="25">
        <v>7.9813767874958432E-5</v>
      </c>
      <c r="N105" s="19">
        <v>4.7811717456655686E-4</v>
      </c>
      <c r="O105" s="19">
        <v>9.558114918558541E-4</v>
      </c>
      <c r="P105" s="16">
        <v>1.5778378448287015E-3</v>
      </c>
      <c r="Q105" s="19">
        <v>1.2543702794309962E-3</v>
      </c>
      <c r="R105" s="16">
        <v>1.3639155086476525E-3</v>
      </c>
      <c r="S105" s="25">
        <v>1.0884476418041181E-3</v>
      </c>
      <c r="T105" s="22">
        <v>3.1591184795794582E-5</v>
      </c>
      <c r="U105" s="25">
        <v>6.6844919786096264E-4</v>
      </c>
      <c r="V105" s="22">
        <v>4.6001348532683016E-4</v>
      </c>
      <c r="W105" s="25">
        <v>3.0414176797857002E-3</v>
      </c>
    </row>
    <row r="106" spans="1:23" x14ac:dyDescent="0.2">
      <c r="A106" s="6" t="s">
        <v>170</v>
      </c>
      <c r="B106" s="19">
        <v>0</v>
      </c>
      <c r="C106" s="16">
        <v>0</v>
      </c>
      <c r="D106" s="19">
        <v>0</v>
      </c>
      <c r="E106" s="16">
        <v>0</v>
      </c>
      <c r="F106" s="19">
        <v>0</v>
      </c>
      <c r="G106" s="16">
        <v>0</v>
      </c>
      <c r="H106" s="22">
        <v>0</v>
      </c>
      <c r="I106" s="25">
        <v>0</v>
      </c>
      <c r="J106" s="22">
        <v>0</v>
      </c>
      <c r="K106" s="25">
        <v>0</v>
      </c>
      <c r="L106" s="22">
        <v>0</v>
      </c>
      <c r="M106" s="25">
        <v>0</v>
      </c>
      <c r="N106" s="19">
        <v>0</v>
      </c>
      <c r="O106" s="19">
        <v>0</v>
      </c>
      <c r="P106" s="16">
        <v>0</v>
      </c>
      <c r="Q106" s="19">
        <v>2.6688729349595664E-5</v>
      </c>
      <c r="R106" s="16">
        <v>0</v>
      </c>
      <c r="S106" s="25">
        <v>0</v>
      </c>
      <c r="T106" s="22">
        <v>0</v>
      </c>
      <c r="U106" s="25">
        <v>0</v>
      </c>
      <c r="V106" s="22">
        <v>0</v>
      </c>
      <c r="W106" s="25">
        <v>0</v>
      </c>
    </row>
    <row r="107" spans="1:23" x14ac:dyDescent="0.2">
      <c r="A107" s="6" t="s">
        <v>171</v>
      </c>
      <c r="B107" s="19">
        <v>0</v>
      </c>
      <c r="C107" s="16">
        <v>0</v>
      </c>
      <c r="D107" s="19">
        <v>0</v>
      </c>
      <c r="E107" s="16">
        <v>0</v>
      </c>
      <c r="F107" s="19">
        <v>0</v>
      </c>
      <c r="G107" s="16">
        <v>0</v>
      </c>
      <c r="H107" s="22">
        <v>0</v>
      </c>
      <c r="I107" s="25">
        <v>0</v>
      </c>
      <c r="J107" s="22">
        <v>0</v>
      </c>
      <c r="K107" s="25">
        <v>0</v>
      </c>
      <c r="L107" s="22">
        <v>0</v>
      </c>
      <c r="M107" s="25">
        <v>0</v>
      </c>
      <c r="N107" s="19">
        <v>0</v>
      </c>
      <c r="O107" s="19">
        <v>0</v>
      </c>
      <c r="P107" s="16">
        <v>0</v>
      </c>
      <c r="Q107" s="19">
        <v>0</v>
      </c>
      <c r="R107" s="16">
        <v>0</v>
      </c>
      <c r="S107" s="25">
        <v>0</v>
      </c>
      <c r="T107" s="22">
        <v>1.8954710877476749E-5</v>
      </c>
      <c r="U107" s="25">
        <v>0</v>
      </c>
      <c r="V107" s="22">
        <v>0</v>
      </c>
      <c r="W107" s="25">
        <v>0</v>
      </c>
    </row>
    <row r="108" spans="1:23" x14ac:dyDescent="0.2">
      <c r="A108" s="6" t="s">
        <v>172</v>
      </c>
      <c r="B108" s="19">
        <v>1.3221217409699085E-4</v>
      </c>
      <c r="C108" s="16">
        <v>2.7700063710146532E-5</v>
      </c>
      <c r="D108" s="19">
        <v>7.1060579143720015E-5</v>
      </c>
      <c r="E108" s="16">
        <v>5.4342288489624017E-5</v>
      </c>
      <c r="F108" s="19">
        <v>0</v>
      </c>
      <c r="G108" s="16">
        <v>0</v>
      </c>
      <c r="H108" s="22">
        <v>3.9157589719827446E-5</v>
      </c>
      <c r="I108" s="25">
        <v>0</v>
      </c>
      <c r="J108" s="22">
        <v>1.5331289161445142E-4</v>
      </c>
      <c r="K108" s="25">
        <v>0</v>
      </c>
      <c r="L108" s="22">
        <v>3.0740476600349214E-5</v>
      </c>
      <c r="M108" s="25">
        <v>0</v>
      </c>
      <c r="N108" s="19">
        <v>0</v>
      </c>
      <c r="O108" s="19">
        <v>0</v>
      </c>
      <c r="P108" s="16">
        <v>2.5866194177519691E-5</v>
      </c>
      <c r="Q108" s="19">
        <v>1.0675491739838266E-4</v>
      </c>
      <c r="R108" s="16">
        <v>7.1409188934432085E-5</v>
      </c>
      <c r="S108" s="25">
        <v>2.5762074362227647E-5</v>
      </c>
      <c r="T108" s="22">
        <v>2.5272947836635664E-5</v>
      </c>
      <c r="U108" s="25">
        <v>0</v>
      </c>
      <c r="V108" s="22">
        <v>6.9317100528700436E-5</v>
      </c>
      <c r="W108" s="25">
        <v>6.5938594683700807E-5</v>
      </c>
    </row>
    <row r="109" spans="1:23" x14ac:dyDescent="0.2">
      <c r="A109" s="6" t="s">
        <v>173</v>
      </c>
      <c r="B109" s="19">
        <v>7.7211909672642645E-2</v>
      </c>
      <c r="C109" s="16">
        <v>4.6085980997756272E-2</v>
      </c>
      <c r="D109" s="19">
        <v>4.986320838514835E-2</v>
      </c>
      <c r="E109" s="16">
        <v>6.1053561118092591E-2</v>
      </c>
      <c r="F109" s="19">
        <v>6.6266393036154336E-2</v>
      </c>
      <c r="G109" s="16">
        <v>3.311292488893481E-2</v>
      </c>
      <c r="H109" s="22">
        <v>6.9667878376526271E-2</v>
      </c>
      <c r="I109" s="25">
        <v>5.8900422419122161E-2</v>
      </c>
      <c r="J109" s="22">
        <v>5.3492867617650978E-2</v>
      </c>
      <c r="K109" s="25">
        <v>3.7132362797930231E-2</v>
      </c>
      <c r="L109" s="22">
        <v>0.1091594324078399</v>
      </c>
      <c r="M109" s="25">
        <v>8.2028599933488558E-2</v>
      </c>
      <c r="N109" s="19">
        <v>4.9048845645846662E-2</v>
      </c>
      <c r="O109" s="19">
        <v>5.059481492013837E-2</v>
      </c>
      <c r="P109" s="16">
        <v>4.176097049960556E-2</v>
      </c>
      <c r="Q109" s="19">
        <v>4.4596866743174347E-2</v>
      </c>
      <c r="R109" s="16">
        <v>3.4119310472871638E-2</v>
      </c>
      <c r="S109" s="25">
        <v>4.6880534820663754E-2</v>
      </c>
      <c r="T109" s="22">
        <v>6.0111706429437785E-2</v>
      </c>
      <c r="U109" s="25">
        <v>7.9023427552839295E-2</v>
      </c>
      <c r="V109" s="22">
        <v>3.4009490141217839E-2</v>
      </c>
      <c r="W109" s="25">
        <v>2.7916752524211819E-2</v>
      </c>
    </row>
    <row r="110" spans="1:23" x14ac:dyDescent="0.2">
      <c r="A110" s="6" t="s">
        <v>174</v>
      </c>
      <c r="B110" s="19">
        <v>7.139457401237506E-4</v>
      </c>
      <c r="C110" s="16">
        <v>4.15500955652198E-5</v>
      </c>
      <c r="D110" s="19">
        <v>1.3998934091312843E-3</v>
      </c>
      <c r="E110" s="16">
        <v>4.1435994973338313E-4</v>
      </c>
      <c r="F110" s="19">
        <v>3.81455175202362E-4</v>
      </c>
      <c r="G110" s="16">
        <v>7.4043461790129837E-4</v>
      </c>
      <c r="H110" s="22">
        <v>9.9851853785559979E-4</v>
      </c>
      <c r="I110" s="25">
        <v>1.6098289717700391E-4</v>
      </c>
      <c r="J110" s="22">
        <v>9.8653512864951354E-4</v>
      </c>
      <c r="K110" s="25">
        <v>4.2896592401941069E-4</v>
      </c>
      <c r="L110" s="22">
        <v>9.3451048865061601E-4</v>
      </c>
      <c r="M110" s="25">
        <v>5.3209178583305612E-4</v>
      </c>
      <c r="N110" s="19">
        <v>0</v>
      </c>
      <c r="O110" s="19">
        <v>8.6891953805077649E-5</v>
      </c>
      <c r="P110" s="16">
        <v>4.5912494665097445E-4</v>
      </c>
      <c r="Q110" s="19">
        <v>9.0741679788625259E-4</v>
      </c>
      <c r="R110" s="16">
        <v>8.2120567274596894E-4</v>
      </c>
      <c r="S110" s="25">
        <v>1.7389400194503662E-4</v>
      </c>
      <c r="T110" s="22">
        <v>1.2510109179134654E-3</v>
      </c>
      <c r="U110" s="25">
        <v>7.7667430608607086E-4</v>
      </c>
      <c r="V110" s="22">
        <v>9.5783629821476971E-4</v>
      </c>
      <c r="W110" s="25">
        <v>2.47269730063878E-4</v>
      </c>
    </row>
    <row r="111" spans="1:23" x14ac:dyDescent="0.2">
      <c r="A111" s="6" t="s">
        <v>175</v>
      </c>
      <c r="B111" s="19">
        <v>7.7145803585594169E-3</v>
      </c>
      <c r="C111" s="16">
        <v>1.1149275643333977E-2</v>
      </c>
      <c r="D111" s="19">
        <v>9.5718600106590827E-3</v>
      </c>
      <c r="E111" s="16">
        <v>7.9203885473627025E-3</v>
      </c>
      <c r="F111" s="19">
        <v>8.9718257207595537E-3</v>
      </c>
      <c r="G111" s="16">
        <v>1.1037641629644939E-2</v>
      </c>
      <c r="H111" s="22">
        <v>2.4042760087974062E-2</v>
      </c>
      <c r="I111" s="25">
        <v>2.0464145889140736E-2</v>
      </c>
      <c r="J111" s="22">
        <v>2.4130115984535395E-2</v>
      </c>
      <c r="K111" s="25">
        <v>1.2667899943698227E-2</v>
      </c>
      <c r="L111" s="22">
        <v>1.6218675454344238E-2</v>
      </c>
      <c r="M111" s="25">
        <v>9.6907216494845315E-3</v>
      </c>
      <c r="N111" s="19">
        <v>6.598017009018485E-3</v>
      </c>
      <c r="O111" s="19">
        <v>8.9972668530894032E-3</v>
      </c>
      <c r="P111" s="16">
        <v>7.410664631859392E-3</v>
      </c>
      <c r="Q111" s="19">
        <v>8.9140356027649498E-3</v>
      </c>
      <c r="R111" s="16">
        <v>1.055427812450906E-2</v>
      </c>
      <c r="S111" s="25">
        <v>1.7176863081015292E-2</v>
      </c>
      <c r="T111" s="22">
        <v>1.0703093408815203E-2</v>
      </c>
      <c r="U111" s="25">
        <v>1.480774127832951E-2</v>
      </c>
      <c r="V111" s="22">
        <v>1.9396185038849083E-2</v>
      </c>
      <c r="W111" s="25">
        <v>1.7020399752730269E-2</v>
      </c>
    </row>
    <row r="112" spans="1:23" x14ac:dyDescent="0.2">
      <c r="A112" s="6" t="s">
        <v>176</v>
      </c>
      <c r="B112" s="19">
        <v>2.3004918292876407E-3</v>
      </c>
      <c r="C112" s="16">
        <v>1.6481537907537187E-3</v>
      </c>
      <c r="D112" s="19">
        <v>4.9102860188310529E-3</v>
      </c>
      <c r="E112" s="16">
        <v>4.2251129300682685E-3</v>
      </c>
      <c r="F112" s="19">
        <v>6.7746439115939491E-3</v>
      </c>
      <c r="G112" s="16">
        <v>3.4955401728828735E-3</v>
      </c>
      <c r="H112" s="22">
        <v>1.3052529906609146E-3</v>
      </c>
      <c r="I112" s="25">
        <v>4.3143416443437049E-4</v>
      </c>
      <c r="J112" s="22">
        <v>1.7464338088254898E-3</v>
      </c>
      <c r="K112" s="25">
        <v>6.9036703396873906E-4</v>
      </c>
      <c r="L112" s="22">
        <v>3.2277500430366677E-3</v>
      </c>
      <c r="M112" s="25">
        <v>2.5407382773528432E-3</v>
      </c>
      <c r="N112" s="19">
        <v>2.7073385009831288E-3</v>
      </c>
      <c r="O112" s="19">
        <v>1.9195222522394426E-3</v>
      </c>
      <c r="P112" s="16">
        <v>3.0004785245922837E-3</v>
      </c>
      <c r="Q112" s="19">
        <v>5.5779444340654941E-3</v>
      </c>
      <c r="R112" s="16">
        <v>4.1631557148773899E-3</v>
      </c>
      <c r="S112" s="25">
        <v>1.3911520155602932E-3</v>
      </c>
      <c r="T112" s="22">
        <v>2.8811160533764655E-3</v>
      </c>
      <c r="U112" s="25">
        <v>2.8711484593837533E-3</v>
      </c>
      <c r="V112" s="22">
        <v>3.4658550264350216E-3</v>
      </c>
      <c r="W112" s="25">
        <v>1.9699155161755615E-3</v>
      </c>
    </row>
    <row r="113" spans="1:23" x14ac:dyDescent="0.2">
      <c r="A113" s="6" t="s">
        <v>178</v>
      </c>
      <c r="B113" s="19">
        <v>1.3221217409699086E-5</v>
      </c>
      <c r="C113" s="16">
        <v>0</v>
      </c>
      <c r="D113" s="19">
        <v>0</v>
      </c>
      <c r="E113" s="16">
        <v>0</v>
      </c>
      <c r="F113" s="19">
        <v>0</v>
      </c>
      <c r="G113" s="16">
        <v>0</v>
      </c>
      <c r="H113" s="22">
        <v>0</v>
      </c>
      <c r="I113" s="25">
        <v>0</v>
      </c>
      <c r="J113" s="22">
        <v>0</v>
      </c>
      <c r="K113" s="25">
        <v>0</v>
      </c>
      <c r="L113" s="22">
        <v>0</v>
      </c>
      <c r="M113" s="25">
        <v>0</v>
      </c>
      <c r="N113" s="19">
        <v>0</v>
      </c>
      <c r="O113" s="19">
        <v>0</v>
      </c>
      <c r="P113" s="16">
        <v>0</v>
      </c>
      <c r="Q113" s="19">
        <v>0</v>
      </c>
      <c r="R113" s="16">
        <v>0</v>
      </c>
      <c r="S113" s="25">
        <v>0</v>
      </c>
      <c r="T113" s="22">
        <v>0</v>
      </c>
      <c r="U113" s="25">
        <v>0</v>
      </c>
      <c r="V113" s="22">
        <v>0</v>
      </c>
      <c r="W113" s="25">
        <v>0</v>
      </c>
    </row>
    <row r="114" spans="1:23" x14ac:dyDescent="0.2">
      <c r="A114" s="6" t="s">
        <v>177</v>
      </c>
      <c r="B114" s="19">
        <v>1.4543339150668993E-4</v>
      </c>
      <c r="C114" s="16">
        <v>0</v>
      </c>
      <c r="D114" s="19">
        <v>3.5530289571860007E-5</v>
      </c>
      <c r="E114" s="16">
        <v>0</v>
      </c>
      <c r="F114" s="19">
        <v>0</v>
      </c>
      <c r="G114" s="16">
        <v>4.3048524296587115E-5</v>
      </c>
      <c r="H114" s="22">
        <v>2.6757686308548757E-4</v>
      </c>
      <c r="I114" s="25">
        <v>0</v>
      </c>
      <c r="J114" s="22">
        <v>1.9997333688841487E-5</v>
      </c>
      <c r="K114" s="25">
        <v>3.3512962814016462E-5</v>
      </c>
      <c r="L114" s="22">
        <v>2.4592381280279371E-4</v>
      </c>
      <c r="M114" s="25">
        <v>1.5962753574991686E-4</v>
      </c>
      <c r="N114" s="19">
        <v>0</v>
      </c>
      <c r="O114" s="19">
        <v>0</v>
      </c>
      <c r="P114" s="16">
        <v>7.1132033988179156E-5</v>
      </c>
      <c r="Q114" s="19">
        <v>1.4678801142277615E-4</v>
      </c>
      <c r="R114" s="16">
        <v>3.5704594467216042E-5</v>
      </c>
      <c r="S114" s="25">
        <v>0</v>
      </c>
      <c r="T114" s="22">
        <v>4.5491306105944205E-4</v>
      </c>
      <c r="U114" s="25">
        <v>0</v>
      </c>
      <c r="V114" s="22">
        <v>1.197295372768462E-4</v>
      </c>
      <c r="W114" s="25">
        <v>1.6484648670925202E-5</v>
      </c>
    </row>
    <row r="115" spans="1:23" x14ac:dyDescent="0.2">
      <c r="A115" s="6" t="s">
        <v>179</v>
      </c>
      <c r="B115" s="19">
        <v>0</v>
      </c>
      <c r="C115" s="16">
        <v>0</v>
      </c>
      <c r="D115" s="19">
        <v>4.9742405400604016E-5</v>
      </c>
      <c r="E115" s="16">
        <v>0</v>
      </c>
      <c r="F115" s="19">
        <v>0</v>
      </c>
      <c r="G115" s="16">
        <v>2.5829114577952269E-5</v>
      </c>
      <c r="H115" s="22">
        <v>1.3052529906609149E-5</v>
      </c>
      <c r="I115" s="25">
        <v>0</v>
      </c>
      <c r="J115" s="22">
        <v>7.3323556859085457E-5</v>
      </c>
      <c r="K115" s="25">
        <v>0</v>
      </c>
      <c r="L115" s="22">
        <v>0</v>
      </c>
      <c r="M115" s="25">
        <v>0</v>
      </c>
      <c r="N115" s="19">
        <v>0</v>
      </c>
      <c r="O115" s="19">
        <v>0</v>
      </c>
      <c r="P115" s="16">
        <v>0</v>
      </c>
      <c r="Q115" s="19">
        <v>0</v>
      </c>
      <c r="R115" s="16">
        <v>0</v>
      </c>
      <c r="S115" s="25">
        <v>0</v>
      </c>
      <c r="T115" s="22">
        <v>2.5272947836635664E-5</v>
      </c>
      <c r="U115" s="25">
        <v>0</v>
      </c>
      <c r="V115" s="22">
        <v>3.7809327561109323E-5</v>
      </c>
      <c r="W115" s="25">
        <v>1.6484648670925202E-5</v>
      </c>
    </row>
    <row r="116" spans="1:23" x14ac:dyDescent="0.2">
      <c r="A116" s="6" t="s">
        <v>180</v>
      </c>
      <c r="B116" s="19">
        <v>0</v>
      </c>
      <c r="C116" s="16">
        <v>0</v>
      </c>
      <c r="D116" s="19">
        <v>2.1318173743116006E-5</v>
      </c>
      <c r="E116" s="16">
        <v>0</v>
      </c>
      <c r="F116" s="19">
        <v>0</v>
      </c>
      <c r="G116" s="16">
        <v>0</v>
      </c>
      <c r="H116" s="22">
        <v>0</v>
      </c>
      <c r="I116" s="25">
        <v>0</v>
      </c>
      <c r="J116" s="22">
        <v>0</v>
      </c>
      <c r="K116" s="25">
        <v>0</v>
      </c>
      <c r="L116" s="22">
        <v>0</v>
      </c>
      <c r="M116" s="25">
        <v>0</v>
      </c>
      <c r="N116" s="19">
        <v>0</v>
      </c>
      <c r="O116" s="19">
        <v>0</v>
      </c>
      <c r="P116" s="16">
        <v>0</v>
      </c>
      <c r="Q116" s="19">
        <v>0</v>
      </c>
      <c r="R116" s="16">
        <v>0</v>
      </c>
      <c r="S116" s="25">
        <v>0</v>
      </c>
      <c r="T116" s="22">
        <v>0</v>
      </c>
      <c r="U116" s="25">
        <v>0</v>
      </c>
      <c r="V116" s="22">
        <v>0</v>
      </c>
      <c r="W116" s="25">
        <v>0</v>
      </c>
    </row>
    <row r="117" spans="1:23" x14ac:dyDescent="0.2">
      <c r="A117" s="6" t="s">
        <v>181</v>
      </c>
      <c r="B117" s="19">
        <v>5.9495478343645888E-5</v>
      </c>
      <c r="C117" s="16">
        <v>0</v>
      </c>
      <c r="D117" s="19">
        <v>0</v>
      </c>
      <c r="E117" s="16">
        <v>0</v>
      </c>
      <c r="F117" s="19">
        <v>1.9835669110522823E-4</v>
      </c>
      <c r="G117" s="16">
        <v>0</v>
      </c>
      <c r="H117" s="22">
        <v>0</v>
      </c>
      <c r="I117" s="25">
        <v>0</v>
      </c>
      <c r="J117" s="22">
        <v>0</v>
      </c>
      <c r="K117" s="25">
        <v>0</v>
      </c>
      <c r="L117" s="22">
        <v>5.533285788062858E-5</v>
      </c>
      <c r="M117" s="25">
        <v>0</v>
      </c>
      <c r="N117" s="19">
        <v>1.1952929364163923E-5</v>
      </c>
      <c r="O117" s="19">
        <v>0</v>
      </c>
      <c r="P117" s="16">
        <v>1.2933097088759846E-5</v>
      </c>
      <c r="Q117" s="19">
        <v>0</v>
      </c>
      <c r="R117" s="16">
        <v>0</v>
      </c>
      <c r="S117" s="25">
        <v>0</v>
      </c>
      <c r="T117" s="22">
        <v>0</v>
      </c>
      <c r="U117" s="25">
        <v>0</v>
      </c>
      <c r="V117" s="22">
        <v>0</v>
      </c>
      <c r="W117" s="25">
        <v>0</v>
      </c>
    </row>
    <row r="118" spans="1:23" x14ac:dyDescent="0.2">
      <c r="A118" s="6" t="s">
        <v>182</v>
      </c>
      <c r="B118" s="19">
        <v>7.668306097625468E-4</v>
      </c>
      <c r="C118" s="16">
        <v>3.4625079637683168E-5</v>
      </c>
      <c r="D118" s="19">
        <v>6.1822703855036424E-4</v>
      </c>
      <c r="E118" s="16">
        <v>1.5623407940766907E-4</v>
      </c>
      <c r="F118" s="19">
        <v>8.392013854451963E-5</v>
      </c>
      <c r="G118" s="16">
        <v>9.4706753452491652E-5</v>
      </c>
      <c r="H118" s="22">
        <v>0</v>
      </c>
      <c r="I118" s="25">
        <v>0</v>
      </c>
      <c r="J118" s="22">
        <v>0</v>
      </c>
      <c r="K118" s="25">
        <v>0</v>
      </c>
      <c r="L118" s="22">
        <v>1.5370238300174604E-4</v>
      </c>
      <c r="M118" s="25">
        <v>1.995344196873961E-4</v>
      </c>
      <c r="N118" s="19">
        <v>1.1773635423701465E-3</v>
      </c>
      <c r="O118" s="19">
        <v>2.2117951877656126E-4</v>
      </c>
      <c r="P118" s="16">
        <v>2.5219539323081697E-4</v>
      </c>
      <c r="Q118" s="19">
        <v>4.0033094024393497E-5</v>
      </c>
      <c r="R118" s="16">
        <v>4.9986432254102458E-5</v>
      </c>
      <c r="S118" s="25">
        <v>2.5762074362227647E-5</v>
      </c>
      <c r="T118" s="22">
        <v>3.0327537403962798E-4</v>
      </c>
      <c r="U118" s="25">
        <v>0</v>
      </c>
      <c r="V118" s="22">
        <v>1.8904663780554662E-5</v>
      </c>
      <c r="W118" s="25">
        <v>0</v>
      </c>
    </row>
    <row r="119" spans="1:23" x14ac:dyDescent="0.2">
      <c r="A119" s="6" t="s">
        <v>183</v>
      </c>
      <c r="B119" s="19">
        <v>0</v>
      </c>
      <c r="C119" s="16">
        <v>0</v>
      </c>
      <c r="D119" s="19">
        <v>6.3954521229348018E-5</v>
      </c>
      <c r="E119" s="16">
        <v>0</v>
      </c>
      <c r="F119" s="19">
        <v>0</v>
      </c>
      <c r="G119" s="16">
        <v>0</v>
      </c>
      <c r="H119" s="22">
        <v>0</v>
      </c>
      <c r="I119" s="25">
        <v>0</v>
      </c>
      <c r="J119" s="22">
        <v>0</v>
      </c>
      <c r="K119" s="25">
        <v>0</v>
      </c>
      <c r="L119" s="22">
        <v>0</v>
      </c>
      <c r="M119" s="25">
        <v>0</v>
      </c>
      <c r="N119" s="19">
        <v>0</v>
      </c>
      <c r="O119" s="19">
        <v>0</v>
      </c>
      <c r="P119" s="16">
        <v>0</v>
      </c>
      <c r="Q119" s="19">
        <v>0</v>
      </c>
      <c r="R119" s="16">
        <v>0</v>
      </c>
      <c r="S119" s="25">
        <v>0</v>
      </c>
      <c r="T119" s="22">
        <v>1.8954710877476749E-5</v>
      </c>
      <c r="U119" s="25">
        <v>0</v>
      </c>
      <c r="V119" s="22">
        <v>0</v>
      </c>
      <c r="W119" s="25">
        <v>0</v>
      </c>
    </row>
    <row r="120" spans="1:23" x14ac:dyDescent="0.2">
      <c r="A120" s="6" t="s">
        <v>184</v>
      </c>
      <c r="B120" s="19">
        <v>1.3221217409699086E-5</v>
      </c>
      <c r="C120" s="16">
        <v>0</v>
      </c>
      <c r="D120" s="19">
        <v>1.4212115828744005E-5</v>
      </c>
      <c r="E120" s="16">
        <v>1.3585572122406004E-5</v>
      </c>
      <c r="F120" s="19">
        <v>6.1032828032377915E-5</v>
      </c>
      <c r="G120" s="16">
        <v>0</v>
      </c>
      <c r="H120" s="22">
        <v>1.9578794859913723E-5</v>
      </c>
      <c r="I120" s="25">
        <v>0</v>
      </c>
      <c r="J120" s="22">
        <v>1.3331555792560992E-5</v>
      </c>
      <c r="K120" s="25">
        <v>0</v>
      </c>
      <c r="L120" s="22">
        <v>0</v>
      </c>
      <c r="M120" s="25">
        <v>3.9906883937479216E-5</v>
      </c>
      <c r="N120" s="19">
        <v>6.5741111502901577E-5</v>
      </c>
      <c r="O120" s="19">
        <v>0</v>
      </c>
      <c r="P120" s="16">
        <v>1.2286442234321854E-4</v>
      </c>
      <c r="Q120" s="19">
        <v>0</v>
      </c>
      <c r="R120" s="16">
        <v>1.4281837786886417E-5</v>
      </c>
      <c r="S120" s="25">
        <v>0</v>
      </c>
      <c r="T120" s="22">
        <v>0</v>
      </c>
      <c r="U120" s="25">
        <v>1.2732365673542144E-5</v>
      </c>
      <c r="V120" s="22">
        <v>1.2603109187036442E-4</v>
      </c>
      <c r="W120" s="25">
        <v>1.6484648670925202E-5</v>
      </c>
    </row>
    <row r="121" spans="1:23" x14ac:dyDescent="0.2">
      <c r="A121" s="6" t="s">
        <v>185</v>
      </c>
      <c r="B121" s="19">
        <v>1.1674334972764292E-2</v>
      </c>
      <c r="C121" s="16">
        <v>5.6715880446525022E-3</v>
      </c>
      <c r="D121" s="19">
        <v>2.4373778646295968E-3</v>
      </c>
      <c r="E121" s="16">
        <v>2.1804843256461636E-3</v>
      </c>
      <c r="F121" s="19">
        <v>1.5944826323458731E-3</v>
      </c>
      <c r="G121" s="16">
        <v>8.6958019079105971E-4</v>
      </c>
      <c r="H121" s="22">
        <v>7.6161512005064385E-3</v>
      </c>
      <c r="I121" s="25">
        <v>1.853235112301669E-2</v>
      </c>
      <c r="J121" s="22">
        <v>4.8993467537661647E-3</v>
      </c>
      <c r="K121" s="25">
        <v>7.59403737365613E-3</v>
      </c>
      <c r="L121" s="22">
        <v>1.0316503947077196E-2</v>
      </c>
      <c r="M121" s="25">
        <v>1.3714665779847023E-2</v>
      </c>
      <c r="N121" s="19">
        <v>5.8210766003478302E-3</v>
      </c>
      <c r="O121" s="19">
        <v>2.7252476420683448E-3</v>
      </c>
      <c r="P121" s="16">
        <v>5.108573350060139E-4</v>
      </c>
      <c r="Q121" s="19">
        <v>1.2944033734553898E-3</v>
      </c>
      <c r="R121" s="16">
        <v>1.1282651851640269E-3</v>
      </c>
      <c r="S121" s="25">
        <v>9.4804433652997747E-3</v>
      </c>
      <c r="T121" s="22">
        <v>1.52711787302871E-2</v>
      </c>
      <c r="U121" s="25">
        <v>1.8964858670741019E-2</v>
      </c>
      <c r="V121" s="22">
        <v>6.1944281654284115E-3</v>
      </c>
      <c r="W121" s="25">
        <v>2.9589944364310735E-3</v>
      </c>
    </row>
    <row r="122" spans="1:23" x14ac:dyDescent="0.2">
      <c r="A122" s="6" t="s">
        <v>186</v>
      </c>
      <c r="B122" s="19">
        <f>1-SUM(B2:B121)</f>
        <v>0.1185480459040662</v>
      </c>
      <c r="C122" s="16">
        <f t="shared" ref="C122:W122" si="0">1-SUM(C2:C121)</f>
        <v>0.10882662530123877</v>
      </c>
      <c r="D122" s="19">
        <f t="shared" si="0"/>
        <v>0.14362053650737316</v>
      </c>
      <c r="E122" s="16">
        <f t="shared" si="0"/>
        <v>9.991509017423561E-2</v>
      </c>
      <c r="F122" s="19">
        <f t="shared" si="0"/>
        <v>0.13057210647176754</v>
      </c>
      <c r="G122" s="16">
        <f t="shared" si="0"/>
        <v>9.5550504528703728E-2</v>
      </c>
      <c r="H122" s="22">
        <f t="shared" si="0"/>
        <v>9.9558171862661804E-2</v>
      </c>
      <c r="I122" s="25">
        <f t="shared" si="0"/>
        <v>0.1763020296723683</v>
      </c>
      <c r="J122" s="22">
        <f t="shared" si="0"/>
        <v>0.14324090121317146</v>
      </c>
      <c r="K122" s="25">
        <f t="shared" si="0"/>
        <v>0.24528807742834913</v>
      </c>
      <c r="L122" s="22">
        <f t="shared" si="0"/>
        <v>0.13353663035191832</v>
      </c>
      <c r="M122" s="25">
        <f t="shared" si="0"/>
        <v>0.13742600598603305</v>
      </c>
      <c r="N122" s="19">
        <f t="shared" si="0"/>
        <v>0.11449711037932631</v>
      </c>
      <c r="O122" s="19">
        <f t="shared" si="0"/>
        <v>9.5802328704363227E-2</v>
      </c>
      <c r="P122" s="16">
        <f t="shared" si="0"/>
        <v>9.8873527243569459E-2</v>
      </c>
      <c r="Q122" s="19">
        <f t="shared" si="0"/>
        <v>0.12910672822866831</v>
      </c>
      <c r="R122" s="16">
        <f t="shared" si="0"/>
        <v>0.1245376255016476</v>
      </c>
      <c r="S122" s="25">
        <f t="shared" si="0"/>
        <v>0.23235458919152252</v>
      </c>
      <c r="T122" s="22">
        <f t="shared" si="0"/>
        <v>0.13655605539830151</v>
      </c>
      <c r="U122" s="25">
        <f t="shared" si="0"/>
        <v>0.15979118920295432</v>
      </c>
      <c r="V122" s="22">
        <f t="shared" si="0"/>
        <v>0.12645329602813005</v>
      </c>
      <c r="W122" s="25">
        <f t="shared" si="0"/>
        <v>0.27714815577993024</v>
      </c>
    </row>
    <row r="123" spans="1:23" x14ac:dyDescent="0.2">
      <c r="A123" s="6"/>
      <c r="B123" s="19"/>
      <c r="C123" s="16"/>
      <c r="D123" s="19"/>
      <c r="E123" s="16"/>
      <c r="F123" s="19"/>
      <c r="G123" s="16"/>
      <c r="H123" s="22"/>
      <c r="I123" s="25"/>
      <c r="J123" s="22"/>
      <c r="K123" s="25"/>
      <c r="L123" s="22"/>
      <c r="M123" s="25"/>
      <c r="N123" s="19"/>
      <c r="O123" s="19"/>
      <c r="P123" s="16"/>
      <c r="Q123" s="19"/>
      <c r="R123" s="16"/>
      <c r="S123" s="25"/>
      <c r="T123" s="22"/>
      <c r="U123" s="25"/>
      <c r="V123" s="22"/>
      <c r="W123" s="25"/>
    </row>
    <row r="124" spans="1:23" x14ac:dyDescent="0.2">
      <c r="A124" s="6"/>
      <c r="B124" s="19"/>
      <c r="C124" s="16"/>
      <c r="D124" s="19"/>
      <c r="E124" s="16"/>
      <c r="F124" s="19"/>
      <c r="G124" s="16"/>
      <c r="H124" s="22"/>
      <c r="I124" s="25"/>
      <c r="J124" s="22"/>
      <c r="K124" s="25"/>
      <c r="L124" s="22"/>
      <c r="M124" s="25"/>
      <c r="N124" s="19"/>
      <c r="O124" s="19"/>
      <c r="P124" s="16"/>
      <c r="Q124" s="19"/>
      <c r="R124" s="16"/>
      <c r="S124" s="25"/>
      <c r="T124" s="22"/>
      <c r="U124" s="25"/>
      <c r="V124" s="22"/>
      <c r="W124" s="25"/>
    </row>
    <row r="125" spans="1:23" x14ac:dyDescent="0.2">
      <c r="A125" s="6"/>
      <c r="B125" s="19"/>
      <c r="C125" s="16"/>
      <c r="D125" s="19"/>
      <c r="E125" s="16"/>
      <c r="F125" s="19"/>
      <c r="G125" s="16"/>
      <c r="H125" s="22"/>
      <c r="I125" s="25"/>
      <c r="J125" s="22"/>
      <c r="K125" s="25"/>
      <c r="L125" s="22"/>
      <c r="M125" s="25"/>
      <c r="N125" s="19"/>
      <c r="O125" s="19"/>
      <c r="P125" s="16"/>
      <c r="Q125" s="19"/>
      <c r="R125" s="16"/>
      <c r="S125" s="25"/>
      <c r="T125" s="22"/>
      <c r="U125" s="25"/>
      <c r="V125" s="22"/>
      <c r="W125" s="25"/>
    </row>
    <row r="126" spans="1:23" x14ac:dyDescent="0.2">
      <c r="A126" s="6"/>
      <c r="B126" s="19"/>
      <c r="C126" s="16"/>
      <c r="D126" s="19"/>
      <c r="E126" s="16"/>
      <c r="F126" s="19"/>
      <c r="G126" s="16"/>
      <c r="H126" s="22"/>
      <c r="I126" s="25"/>
      <c r="J126" s="22"/>
      <c r="K126" s="25"/>
      <c r="L126" s="22"/>
      <c r="M126" s="25"/>
      <c r="N126" s="19"/>
      <c r="O126" s="19"/>
      <c r="P126" s="16"/>
      <c r="Q126" s="19"/>
      <c r="R126" s="16"/>
      <c r="S126" s="25"/>
      <c r="T126" s="22"/>
      <c r="U126" s="25"/>
      <c r="V126" s="22"/>
      <c r="W126" s="25"/>
    </row>
    <row r="127" spans="1:23" x14ac:dyDescent="0.2">
      <c r="A127" s="6"/>
      <c r="B127" s="19"/>
      <c r="C127" s="16"/>
      <c r="D127" s="19"/>
      <c r="E127" s="16"/>
      <c r="F127" s="19"/>
      <c r="G127" s="16"/>
      <c r="H127" s="22"/>
      <c r="I127" s="25"/>
      <c r="J127" s="22"/>
      <c r="K127" s="25"/>
      <c r="L127" s="22"/>
      <c r="M127" s="25"/>
      <c r="N127" s="19"/>
      <c r="O127" s="19"/>
      <c r="P127" s="16"/>
      <c r="Q127" s="19"/>
      <c r="R127" s="16"/>
      <c r="S127" s="25"/>
      <c r="T127" s="22"/>
      <c r="U127" s="25"/>
      <c r="V127" s="22"/>
      <c r="W127" s="25"/>
    </row>
    <row r="128" spans="1:23" x14ac:dyDescent="0.2">
      <c r="A128" s="6"/>
      <c r="B128" s="19"/>
      <c r="C128" s="16"/>
      <c r="D128" s="19"/>
      <c r="E128" s="16"/>
      <c r="F128" s="19"/>
      <c r="G128" s="16"/>
      <c r="H128" s="22"/>
      <c r="I128" s="25"/>
      <c r="J128" s="22"/>
      <c r="K128" s="25"/>
      <c r="L128" s="22"/>
      <c r="M128" s="25"/>
      <c r="N128" s="19"/>
      <c r="O128" s="19"/>
      <c r="P128" s="16"/>
      <c r="Q128" s="19"/>
      <c r="R128" s="16"/>
      <c r="S128" s="25"/>
      <c r="T128" s="22"/>
      <c r="U128" s="25"/>
      <c r="V128" s="22"/>
      <c r="W128" s="25"/>
    </row>
    <row r="129" spans="1:23" x14ac:dyDescent="0.2">
      <c r="A129" s="6"/>
      <c r="B129" s="19"/>
      <c r="C129" s="16"/>
      <c r="D129" s="19"/>
      <c r="E129" s="16"/>
      <c r="F129" s="19"/>
      <c r="G129" s="16"/>
      <c r="H129" s="22"/>
      <c r="I129" s="25"/>
      <c r="J129" s="22"/>
      <c r="K129" s="25"/>
      <c r="L129" s="22"/>
      <c r="M129" s="25"/>
      <c r="N129" s="19"/>
      <c r="O129" s="19"/>
      <c r="P129" s="16"/>
      <c r="Q129" s="19"/>
      <c r="R129" s="16"/>
      <c r="S129" s="25"/>
      <c r="T129" s="22"/>
      <c r="U129" s="25"/>
      <c r="V129" s="22"/>
      <c r="W129" s="25"/>
    </row>
    <row r="130" spans="1:23" x14ac:dyDescent="0.2">
      <c r="A130" s="6"/>
      <c r="B130" s="19"/>
      <c r="C130" s="16"/>
      <c r="D130" s="19"/>
      <c r="E130" s="16"/>
      <c r="F130" s="19"/>
      <c r="G130" s="16"/>
      <c r="H130" s="22"/>
      <c r="I130" s="25"/>
      <c r="J130" s="22"/>
      <c r="K130" s="25"/>
      <c r="L130" s="22"/>
      <c r="M130" s="25"/>
      <c r="N130" s="19"/>
      <c r="O130" s="19"/>
      <c r="P130" s="16"/>
      <c r="Q130" s="19"/>
      <c r="R130" s="16"/>
      <c r="S130" s="25"/>
      <c r="T130" s="22"/>
      <c r="U130" s="25"/>
      <c r="V130" s="22"/>
      <c r="W130" s="25"/>
    </row>
    <row r="131" spans="1:23" x14ac:dyDescent="0.2">
      <c r="A131" s="6"/>
      <c r="B131" s="19"/>
      <c r="C131" s="16"/>
      <c r="D131" s="19"/>
      <c r="E131" s="16"/>
      <c r="F131" s="19"/>
      <c r="G131" s="16"/>
      <c r="H131" s="22"/>
      <c r="I131" s="25"/>
      <c r="J131" s="22"/>
      <c r="K131" s="25"/>
      <c r="L131" s="22"/>
      <c r="M131" s="25"/>
      <c r="N131" s="19"/>
      <c r="O131" s="19"/>
      <c r="P131" s="16"/>
      <c r="Q131" s="19"/>
      <c r="R131" s="16"/>
      <c r="S131" s="25"/>
      <c r="T131" s="22"/>
      <c r="U131" s="25"/>
      <c r="V131" s="22"/>
      <c r="W131" s="25"/>
    </row>
    <row r="132" spans="1:23" x14ac:dyDescent="0.2">
      <c r="A132" s="6"/>
      <c r="B132" s="19"/>
      <c r="C132" s="16"/>
      <c r="D132" s="19"/>
      <c r="E132" s="16"/>
      <c r="F132" s="19"/>
      <c r="G132" s="16"/>
      <c r="H132" s="22"/>
      <c r="I132" s="25"/>
      <c r="J132" s="22"/>
      <c r="K132" s="25"/>
      <c r="L132" s="22"/>
      <c r="M132" s="25"/>
      <c r="N132" s="19"/>
      <c r="O132" s="19"/>
      <c r="P132" s="16"/>
      <c r="Q132" s="19"/>
      <c r="R132" s="16"/>
      <c r="S132" s="25"/>
      <c r="T132" s="22"/>
      <c r="U132" s="25"/>
      <c r="V132" s="22"/>
      <c r="W132" s="25"/>
    </row>
    <row r="133" spans="1:23" x14ac:dyDescent="0.2">
      <c r="A133" s="6"/>
      <c r="B133" s="19"/>
      <c r="C133" s="16"/>
      <c r="D133" s="19"/>
      <c r="E133" s="16"/>
      <c r="F133" s="19"/>
      <c r="G133" s="16"/>
      <c r="H133" s="22"/>
      <c r="I133" s="25"/>
      <c r="J133" s="22"/>
      <c r="K133" s="25"/>
      <c r="L133" s="22"/>
      <c r="M133" s="25"/>
      <c r="N133" s="19"/>
      <c r="O133" s="19"/>
      <c r="P133" s="16"/>
      <c r="Q133" s="19"/>
      <c r="R133" s="16"/>
      <c r="S133" s="25"/>
      <c r="T133" s="22"/>
      <c r="U133" s="25"/>
      <c r="V133" s="22"/>
      <c r="W133" s="25"/>
    </row>
    <row r="134" spans="1:23" x14ac:dyDescent="0.2">
      <c r="A134" s="6"/>
      <c r="B134" s="19"/>
      <c r="C134" s="16"/>
      <c r="D134" s="19"/>
      <c r="E134" s="16"/>
      <c r="F134" s="19"/>
      <c r="G134" s="16"/>
      <c r="H134" s="22"/>
      <c r="I134" s="25"/>
      <c r="J134" s="22"/>
      <c r="K134" s="25"/>
      <c r="L134" s="22"/>
      <c r="M134" s="25"/>
      <c r="N134" s="19"/>
      <c r="O134" s="19"/>
      <c r="P134" s="16"/>
      <c r="Q134" s="19"/>
      <c r="R134" s="16"/>
      <c r="S134" s="25"/>
      <c r="T134" s="22"/>
      <c r="U134" s="25"/>
      <c r="V134" s="22"/>
      <c r="W134" s="25"/>
    </row>
    <row r="135" spans="1:23" x14ac:dyDescent="0.2">
      <c r="A135" s="6"/>
      <c r="B135" s="19"/>
      <c r="C135" s="16"/>
      <c r="D135" s="19"/>
      <c r="E135" s="16"/>
      <c r="F135" s="19"/>
      <c r="G135" s="16"/>
      <c r="H135" s="22"/>
      <c r="I135" s="25"/>
      <c r="J135" s="22"/>
      <c r="K135" s="25"/>
      <c r="L135" s="22"/>
      <c r="M135" s="25"/>
      <c r="N135" s="19"/>
      <c r="O135" s="19"/>
      <c r="P135" s="16"/>
      <c r="Q135" s="19"/>
      <c r="R135" s="16"/>
      <c r="S135" s="25"/>
      <c r="T135" s="22"/>
      <c r="U135" s="25"/>
      <c r="V135" s="22"/>
      <c r="W135" s="25"/>
    </row>
    <row r="136" spans="1:23" x14ac:dyDescent="0.2">
      <c r="A136" s="6"/>
      <c r="B136" s="19"/>
      <c r="C136" s="16"/>
      <c r="D136" s="19"/>
      <c r="E136" s="16"/>
      <c r="F136" s="19"/>
      <c r="G136" s="16"/>
      <c r="H136" s="22"/>
      <c r="I136" s="25"/>
      <c r="J136" s="22"/>
      <c r="K136" s="25"/>
      <c r="L136" s="22"/>
      <c r="M136" s="25"/>
      <c r="N136" s="19"/>
      <c r="O136" s="19"/>
      <c r="P136" s="16"/>
      <c r="Q136" s="19"/>
      <c r="R136" s="16"/>
      <c r="S136" s="25"/>
      <c r="T136" s="22"/>
      <c r="U136" s="25"/>
      <c r="V136" s="22"/>
      <c r="W136" s="25"/>
    </row>
    <row r="137" spans="1:23" x14ac:dyDescent="0.2">
      <c r="A137" s="6"/>
      <c r="B137" s="19"/>
      <c r="C137" s="16"/>
      <c r="D137" s="19"/>
      <c r="E137" s="16"/>
      <c r="F137" s="19"/>
      <c r="G137" s="16"/>
      <c r="H137" s="22"/>
      <c r="I137" s="25"/>
      <c r="J137" s="22"/>
      <c r="K137" s="25"/>
      <c r="L137" s="22"/>
      <c r="M137" s="25"/>
      <c r="N137" s="19"/>
      <c r="O137" s="19"/>
      <c r="P137" s="16"/>
      <c r="Q137" s="19"/>
      <c r="R137" s="16"/>
      <c r="S137" s="25"/>
      <c r="T137" s="22"/>
      <c r="U137" s="25"/>
      <c r="V137" s="22"/>
      <c r="W137" s="25"/>
    </row>
    <row r="138" spans="1:23" x14ac:dyDescent="0.2">
      <c r="A138" s="6"/>
      <c r="B138" s="19"/>
      <c r="C138" s="16"/>
      <c r="D138" s="19"/>
      <c r="E138" s="16"/>
      <c r="F138" s="19"/>
      <c r="G138" s="16"/>
      <c r="H138" s="22"/>
      <c r="I138" s="25"/>
      <c r="J138" s="22"/>
      <c r="K138" s="25"/>
      <c r="L138" s="22"/>
      <c r="M138" s="25"/>
      <c r="N138" s="19"/>
      <c r="O138" s="19"/>
      <c r="P138" s="16"/>
      <c r="Q138" s="19"/>
      <c r="R138" s="16"/>
      <c r="S138" s="25"/>
      <c r="T138" s="22"/>
      <c r="U138" s="25"/>
      <c r="V138" s="22"/>
      <c r="W138" s="25"/>
    </row>
    <row r="139" spans="1:23" x14ac:dyDescent="0.2">
      <c r="A139" s="6"/>
      <c r="B139" s="19"/>
      <c r="C139" s="16"/>
      <c r="D139" s="19"/>
      <c r="E139" s="16"/>
      <c r="F139" s="19"/>
      <c r="G139" s="16"/>
      <c r="H139" s="22"/>
      <c r="I139" s="25"/>
      <c r="J139" s="22"/>
      <c r="K139" s="25"/>
      <c r="L139" s="22"/>
      <c r="M139" s="25"/>
      <c r="N139" s="19"/>
      <c r="O139" s="19"/>
      <c r="P139" s="16"/>
      <c r="Q139" s="19"/>
      <c r="R139" s="16"/>
      <c r="S139" s="25"/>
      <c r="T139" s="22"/>
      <c r="U139" s="25"/>
      <c r="V139" s="22"/>
      <c r="W139" s="25"/>
    </row>
    <row r="140" spans="1:23" x14ac:dyDescent="0.2">
      <c r="A140" s="6"/>
      <c r="B140" s="19"/>
      <c r="C140" s="16"/>
      <c r="D140" s="19"/>
      <c r="E140" s="16"/>
      <c r="F140" s="19"/>
      <c r="G140" s="16"/>
      <c r="H140" s="22"/>
      <c r="I140" s="25"/>
      <c r="J140" s="22"/>
      <c r="K140" s="25"/>
      <c r="L140" s="22"/>
      <c r="M140" s="25"/>
      <c r="N140" s="19"/>
      <c r="O140" s="19"/>
      <c r="P140" s="16"/>
      <c r="Q140" s="19"/>
      <c r="R140" s="16"/>
      <c r="S140" s="25"/>
      <c r="T140" s="22"/>
      <c r="U140" s="25"/>
      <c r="V140" s="22"/>
      <c r="W140" s="25"/>
    </row>
    <row r="141" spans="1:23" x14ac:dyDescent="0.2">
      <c r="A141" s="6"/>
      <c r="B141" s="19"/>
      <c r="C141" s="16"/>
      <c r="D141" s="19"/>
      <c r="E141" s="16"/>
      <c r="F141" s="19"/>
      <c r="G141" s="16"/>
      <c r="H141" s="22"/>
      <c r="I141" s="25"/>
      <c r="J141" s="22"/>
      <c r="K141" s="25"/>
      <c r="L141" s="22"/>
      <c r="M141" s="25"/>
      <c r="N141" s="19"/>
      <c r="O141" s="19"/>
      <c r="P141" s="16"/>
      <c r="Q141" s="19"/>
      <c r="R141" s="16"/>
      <c r="S141" s="25"/>
      <c r="T141" s="22"/>
      <c r="U141" s="25"/>
      <c r="V141" s="22"/>
      <c r="W141" s="25"/>
    </row>
    <row r="142" spans="1:23" x14ac:dyDescent="0.2">
      <c r="A142" s="6"/>
      <c r="B142" s="19"/>
      <c r="C142" s="16"/>
      <c r="D142" s="19"/>
      <c r="E142" s="16"/>
      <c r="F142" s="19"/>
      <c r="G142" s="16"/>
      <c r="H142" s="22"/>
      <c r="I142" s="25"/>
      <c r="J142" s="22"/>
      <c r="K142" s="25"/>
      <c r="L142" s="22"/>
      <c r="M142" s="25"/>
      <c r="N142" s="19"/>
      <c r="O142" s="19"/>
      <c r="P142" s="16"/>
      <c r="Q142" s="19"/>
      <c r="R142" s="16"/>
      <c r="S142" s="25"/>
      <c r="T142" s="22"/>
      <c r="U142" s="25"/>
      <c r="V142" s="22"/>
      <c r="W142" s="25"/>
    </row>
    <row r="143" spans="1:23" x14ac:dyDescent="0.2">
      <c r="A143" s="6"/>
      <c r="B143" s="19"/>
      <c r="C143" s="16"/>
      <c r="D143" s="19"/>
      <c r="E143" s="16"/>
      <c r="F143" s="19"/>
      <c r="G143" s="16"/>
      <c r="H143" s="22"/>
      <c r="I143" s="25"/>
      <c r="J143" s="22"/>
      <c r="K143" s="25"/>
      <c r="L143" s="22"/>
      <c r="M143" s="25"/>
      <c r="N143" s="19"/>
      <c r="O143" s="19"/>
      <c r="P143" s="16"/>
      <c r="Q143" s="19"/>
      <c r="R143" s="16"/>
      <c r="S143" s="25"/>
      <c r="T143" s="22"/>
      <c r="U143" s="25"/>
      <c r="V143" s="22"/>
      <c r="W143" s="25"/>
    </row>
    <row r="144" spans="1:23" x14ac:dyDescent="0.2">
      <c r="A144" s="6"/>
      <c r="B144" s="19"/>
      <c r="C144" s="16"/>
      <c r="D144" s="19"/>
      <c r="E144" s="16"/>
      <c r="F144" s="19"/>
      <c r="G144" s="16"/>
      <c r="H144" s="22"/>
      <c r="I144" s="25"/>
      <c r="J144" s="22"/>
      <c r="K144" s="25"/>
      <c r="L144" s="22"/>
      <c r="M144" s="25"/>
      <c r="N144" s="19"/>
      <c r="O144" s="19"/>
      <c r="P144" s="16"/>
      <c r="Q144" s="19"/>
      <c r="R144" s="16"/>
      <c r="S144" s="25"/>
      <c r="T144" s="22"/>
      <c r="U144" s="25"/>
      <c r="V144" s="22"/>
      <c r="W144" s="25"/>
    </row>
    <row r="145" spans="1:23" x14ac:dyDescent="0.2">
      <c r="A145" s="6"/>
      <c r="B145" s="19"/>
      <c r="C145" s="16"/>
      <c r="D145" s="19"/>
      <c r="E145" s="16"/>
      <c r="F145" s="19"/>
      <c r="G145" s="16"/>
      <c r="H145" s="22"/>
      <c r="I145" s="25"/>
      <c r="J145" s="22"/>
      <c r="K145" s="25"/>
      <c r="L145" s="22"/>
      <c r="M145" s="25"/>
      <c r="N145" s="19"/>
      <c r="O145" s="19"/>
      <c r="P145" s="16"/>
      <c r="Q145" s="19"/>
      <c r="R145" s="16"/>
      <c r="S145" s="25"/>
      <c r="T145" s="22"/>
      <c r="U145" s="25"/>
      <c r="V145" s="22"/>
      <c r="W145" s="25"/>
    </row>
    <row r="146" spans="1:23" x14ac:dyDescent="0.2">
      <c r="A146" s="6"/>
      <c r="B146" s="19"/>
      <c r="C146" s="16"/>
      <c r="D146" s="19"/>
      <c r="E146" s="16"/>
      <c r="F146" s="19"/>
      <c r="G146" s="16"/>
      <c r="H146" s="22"/>
      <c r="I146" s="25"/>
      <c r="J146" s="22"/>
      <c r="K146" s="25"/>
      <c r="L146" s="22"/>
      <c r="M146" s="25"/>
      <c r="N146" s="19"/>
      <c r="O146" s="19"/>
      <c r="P146" s="16"/>
      <c r="Q146" s="19"/>
      <c r="R146" s="16"/>
      <c r="S146" s="25"/>
      <c r="T146" s="22"/>
      <c r="U146" s="25"/>
      <c r="V146" s="22"/>
      <c r="W146" s="25"/>
    </row>
    <row r="147" spans="1:23" x14ac:dyDescent="0.2">
      <c r="A147" s="6"/>
      <c r="B147" s="19"/>
      <c r="C147" s="16"/>
      <c r="D147" s="19"/>
      <c r="E147" s="16"/>
      <c r="F147" s="19"/>
      <c r="G147" s="16"/>
      <c r="H147" s="22"/>
      <c r="I147" s="25"/>
      <c r="J147" s="22"/>
      <c r="K147" s="25"/>
      <c r="L147" s="22"/>
      <c r="M147" s="25"/>
      <c r="N147" s="19"/>
      <c r="O147" s="19"/>
      <c r="P147" s="16"/>
      <c r="Q147" s="19"/>
      <c r="R147" s="16"/>
      <c r="S147" s="25"/>
      <c r="T147" s="22"/>
      <c r="U147" s="25"/>
      <c r="V147" s="22"/>
      <c r="W147" s="25"/>
    </row>
    <row r="148" spans="1:23" x14ac:dyDescent="0.2">
      <c r="A148" s="6"/>
      <c r="B148" s="19"/>
      <c r="C148" s="16"/>
      <c r="D148" s="19"/>
      <c r="E148" s="16"/>
      <c r="F148" s="19"/>
      <c r="G148" s="16"/>
      <c r="H148" s="22"/>
      <c r="I148" s="25"/>
      <c r="J148" s="22"/>
      <c r="K148" s="25"/>
      <c r="L148" s="22"/>
      <c r="M148" s="25"/>
      <c r="N148" s="19"/>
      <c r="O148" s="19"/>
      <c r="P148" s="16"/>
      <c r="Q148" s="19"/>
      <c r="R148" s="16"/>
      <c r="S148" s="25"/>
      <c r="T148" s="22"/>
      <c r="U148" s="25"/>
      <c r="V148" s="22"/>
      <c r="W148" s="25"/>
    </row>
    <row r="149" spans="1:23" x14ac:dyDescent="0.2">
      <c r="A149" s="6"/>
      <c r="B149" s="19"/>
      <c r="C149" s="16"/>
      <c r="D149" s="19"/>
      <c r="E149" s="16"/>
      <c r="F149" s="19"/>
      <c r="G149" s="16"/>
      <c r="H149" s="22"/>
      <c r="I149" s="25"/>
      <c r="J149" s="22"/>
      <c r="K149" s="25"/>
      <c r="L149" s="22"/>
      <c r="M149" s="25"/>
      <c r="N149" s="19"/>
      <c r="O149" s="19"/>
      <c r="P149" s="16"/>
      <c r="Q149" s="19"/>
      <c r="R149" s="16"/>
      <c r="S149" s="25"/>
      <c r="T149" s="22"/>
      <c r="U149" s="25"/>
      <c r="V149" s="22"/>
      <c r="W149" s="25"/>
    </row>
    <row r="150" spans="1:23" x14ac:dyDescent="0.2">
      <c r="A150" s="6"/>
      <c r="B150" s="19"/>
      <c r="C150" s="16"/>
      <c r="D150" s="19"/>
      <c r="E150" s="16"/>
      <c r="F150" s="19"/>
      <c r="G150" s="16"/>
      <c r="H150" s="22"/>
      <c r="I150" s="25"/>
      <c r="J150" s="22"/>
      <c r="K150" s="25"/>
      <c r="L150" s="22"/>
      <c r="M150" s="25"/>
      <c r="N150" s="19"/>
      <c r="O150" s="19"/>
      <c r="P150" s="16"/>
      <c r="Q150" s="19"/>
      <c r="R150" s="16"/>
      <c r="S150" s="25"/>
      <c r="T150" s="22"/>
      <c r="U150" s="25"/>
      <c r="V150" s="22"/>
      <c r="W150" s="25"/>
    </row>
    <row r="151" spans="1:23" x14ac:dyDescent="0.2">
      <c r="A151" s="6"/>
      <c r="B151" s="19"/>
      <c r="C151" s="16"/>
      <c r="D151" s="19"/>
      <c r="E151" s="16"/>
      <c r="F151" s="19"/>
      <c r="G151" s="16"/>
      <c r="H151" s="22"/>
      <c r="I151" s="25"/>
      <c r="J151" s="22"/>
      <c r="K151" s="25"/>
      <c r="L151" s="22"/>
      <c r="M151" s="25"/>
      <c r="N151" s="19"/>
      <c r="O151" s="19"/>
      <c r="P151" s="16"/>
      <c r="Q151" s="19"/>
      <c r="R151" s="16"/>
      <c r="S151" s="25"/>
      <c r="T151" s="22"/>
      <c r="U151" s="25"/>
      <c r="V151" s="22"/>
      <c r="W151" s="25"/>
    </row>
    <row r="152" spans="1:23" x14ac:dyDescent="0.2">
      <c r="A152" s="6"/>
      <c r="B152" s="19"/>
      <c r="C152" s="16"/>
      <c r="D152" s="19"/>
      <c r="E152" s="16"/>
      <c r="F152" s="19"/>
      <c r="G152" s="16"/>
      <c r="H152" s="22"/>
      <c r="I152" s="25"/>
      <c r="J152" s="22"/>
      <c r="K152" s="25"/>
      <c r="L152" s="22"/>
      <c r="M152" s="25"/>
      <c r="N152" s="19"/>
      <c r="O152" s="19"/>
      <c r="P152" s="16"/>
      <c r="Q152" s="19"/>
      <c r="R152" s="16"/>
      <c r="S152" s="25"/>
      <c r="T152" s="22"/>
      <c r="U152" s="25"/>
      <c r="V152" s="22"/>
      <c r="W152" s="25"/>
    </row>
    <row r="153" spans="1:23" x14ac:dyDescent="0.2">
      <c r="A153" s="6"/>
      <c r="B153" s="19"/>
      <c r="C153" s="16"/>
      <c r="D153" s="19"/>
      <c r="E153" s="16"/>
      <c r="F153" s="19"/>
      <c r="G153" s="16"/>
      <c r="H153" s="22"/>
      <c r="I153" s="25"/>
      <c r="J153" s="22"/>
      <c r="K153" s="25"/>
      <c r="L153" s="22"/>
      <c r="M153" s="25"/>
      <c r="N153" s="19"/>
      <c r="O153" s="19"/>
      <c r="P153" s="16"/>
      <c r="Q153" s="19"/>
      <c r="R153" s="16"/>
      <c r="S153" s="25"/>
      <c r="T153" s="22"/>
      <c r="U153" s="25"/>
      <c r="V153" s="22"/>
      <c r="W153" s="25"/>
    </row>
    <row r="154" spans="1:23" x14ac:dyDescent="0.2">
      <c r="A154" s="6"/>
      <c r="B154" s="19"/>
      <c r="C154" s="16"/>
      <c r="D154" s="19"/>
      <c r="E154" s="16"/>
      <c r="F154" s="19"/>
      <c r="G154" s="16"/>
      <c r="H154" s="22"/>
      <c r="I154" s="25"/>
      <c r="J154" s="22"/>
      <c r="K154" s="25"/>
      <c r="L154" s="22"/>
      <c r="M154" s="25"/>
      <c r="N154" s="19"/>
      <c r="O154" s="19"/>
      <c r="P154" s="16"/>
      <c r="Q154" s="19"/>
      <c r="R154" s="16"/>
      <c r="S154" s="25"/>
      <c r="T154" s="22"/>
      <c r="U154" s="25"/>
      <c r="V154" s="22"/>
      <c r="W154" s="25"/>
    </row>
    <row r="155" spans="1:23" x14ac:dyDescent="0.2">
      <c r="A155" s="6"/>
      <c r="B155" s="19"/>
      <c r="C155" s="16"/>
      <c r="D155" s="19"/>
      <c r="E155" s="16"/>
      <c r="F155" s="19"/>
      <c r="G155" s="16"/>
      <c r="H155" s="22"/>
      <c r="I155" s="25"/>
      <c r="J155" s="22"/>
      <c r="K155" s="25"/>
      <c r="L155" s="22"/>
      <c r="M155" s="25"/>
      <c r="N155" s="19"/>
      <c r="O155" s="19"/>
      <c r="P155" s="16"/>
      <c r="Q155" s="19"/>
      <c r="R155" s="16"/>
      <c r="S155" s="25"/>
      <c r="T155" s="22"/>
      <c r="U155" s="25"/>
      <c r="V155" s="22"/>
      <c r="W155" s="25"/>
    </row>
    <row r="156" spans="1:23" x14ac:dyDescent="0.2">
      <c r="A156" s="6"/>
      <c r="B156" s="19"/>
      <c r="C156" s="16"/>
      <c r="D156" s="19"/>
      <c r="E156" s="16"/>
      <c r="F156" s="19"/>
      <c r="G156" s="16"/>
      <c r="H156" s="22"/>
      <c r="I156" s="25"/>
      <c r="J156" s="22"/>
      <c r="K156" s="25"/>
      <c r="L156" s="22"/>
      <c r="M156" s="25"/>
      <c r="N156" s="19"/>
      <c r="O156" s="19"/>
      <c r="P156" s="16"/>
      <c r="Q156" s="19"/>
      <c r="R156" s="16"/>
      <c r="S156" s="25"/>
      <c r="T156" s="22"/>
      <c r="U156" s="25"/>
      <c r="V156" s="22"/>
      <c r="W156" s="25"/>
    </row>
    <row r="157" spans="1:23" x14ac:dyDescent="0.2">
      <c r="A157" s="6"/>
      <c r="B157" s="19"/>
      <c r="C157" s="16"/>
      <c r="D157" s="19"/>
      <c r="E157" s="16"/>
      <c r="F157" s="19"/>
      <c r="G157" s="16"/>
      <c r="H157" s="22"/>
      <c r="I157" s="25"/>
      <c r="J157" s="22"/>
      <c r="K157" s="25"/>
      <c r="L157" s="22"/>
      <c r="M157" s="25"/>
      <c r="N157" s="19"/>
      <c r="O157" s="19"/>
      <c r="P157" s="16"/>
      <c r="Q157" s="19"/>
      <c r="R157" s="16"/>
      <c r="S157" s="25"/>
      <c r="T157" s="22"/>
      <c r="U157" s="25"/>
      <c r="V157" s="22"/>
      <c r="W157" s="25"/>
    </row>
    <row r="158" spans="1:23" x14ac:dyDescent="0.2">
      <c r="A158" s="6"/>
      <c r="B158" s="19"/>
      <c r="C158" s="16"/>
      <c r="D158" s="19"/>
      <c r="E158" s="16"/>
      <c r="F158" s="19"/>
      <c r="G158" s="16"/>
      <c r="H158" s="22"/>
      <c r="I158" s="25"/>
      <c r="J158" s="22"/>
      <c r="K158" s="25"/>
      <c r="L158" s="22"/>
      <c r="M158" s="25"/>
      <c r="N158" s="19"/>
      <c r="O158" s="19"/>
      <c r="P158" s="16"/>
      <c r="Q158" s="19"/>
      <c r="R158" s="16"/>
      <c r="S158" s="25"/>
      <c r="T158" s="22"/>
      <c r="U158" s="25"/>
      <c r="V158" s="22"/>
      <c r="W158" s="25"/>
    </row>
    <row r="159" spans="1:23" x14ac:dyDescent="0.2">
      <c r="A159" s="6"/>
      <c r="B159" s="19"/>
      <c r="C159" s="16"/>
      <c r="D159" s="19"/>
      <c r="E159" s="16"/>
      <c r="F159" s="19"/>
      <c r="G159" s="16"/>
      <c r="H159" s="22"/>
      <c r="I159" s="25"/>
      <c r="J159" s="22"/>
      <c r="K159" s="25"/>
      <c r="L159" s="22"/>
      <c r="M159" s="25"/>
      <c r="N159" s="19"/>
      <c r="O159" s="19"/>
      <c r="P159" s="16"/>
      <c r="Q159" s="19"/>
      <c r="R159" s="16"/>
      <c r="S159" s="25"/>
      <c r="T159" s="22"/>
      <c r="U159" s="25"/>
      <c r="V159" s="22"/>
      <c r="W159" s="25"/>
    </row>
    <row r="160" spans="1:23" x14ac:dyDescent="0.2">
      <c r="A160" s="6"/>
      <c r="B160" s="19"/>
      <c r="C160" s="16"/>
      <c r="D160" s="19"/>
      <c r="E160" s="16"/>
      <c r="F160" s="19"/>
      <c r="G160" s="16"/>
      <c r="H160" s="22"/>
      <c r="I160" s="25"/>
      <c r="J160" s="22"/>
      <c r="K160" s="25"/>
      <c r="L160" s="22"/>
      <c r="M160" s="25"/>
      <c r="N160" s="19"/>
      <c r="O160" s="19"/>
      <c r="P160" s="16"/>
      <c r="Q160" s="19"/>
      <c r="R160" s="16"/>
      <c r="S160" s="25"/>
      <c r="T160" s="22"/>
      <c r="U160" s="25"/>
      <c r="V160" s="22"/>
      <c r="W160" s="25"/>
    </row>
    <row r="161" spans="1:23" x14ac:dyDescent="0.2">
      <c r="A161" s="6"/>
      <c r="B161" s="19"/>
      <c r="C161" s="16"/>
      <c r="D161" s="19"/>
      <c r="E161" s="16"/>
      <c r="F161" s="19"/>
      <c r="G161" s="16"/>
      <c r="H161" s="22"/>
      <c r="I161" s="25"/>
      <c r="J161" s="22"/>
      <c r="K161" s="25"/>
      <c r="L161" s="22"/>
      <c r="M161" s="25"/>
      <c r="N161" s="19"/>
      <c r="O161" s="19"/>
      <c r="P161" s="16"/>
      <c r="Q161" s="19"/>
      <c r="R161" s="16"/>
      <c r="S161" s="25"/>
      <c r="T161" s="22"/>
      <c r="U161" s="25"/>
      <c r="V161" s="22"/>
      <c r="W161" s="25"/>
    </row>
    <row r="162" spans="1:23" x14ac:dyDescent="0.2">
      <c r="A162" s="6"/>
      <c r="B162" s="19"/>
      <c r="C162" s="16"/>
      <c r="D162" s="19"/>
      <c r="E162" s="16"/>
      <c r="F162" s="19"/>
      <c r="G162" s="16"/>
      <c r="H162" s="22"/>
      <c r="I162" s="25"/>
      <c r="J162" s="22"/>
      <c r="K162" s="25"/>
      <c r="L162" s="22"/>
      <c r="M162" s="25"/>
      <c r="N162" s="19"/>
      <c r="O162" s="19"/>
      <c r="P162" s="16"/>
      <c r="Q162" s="19"/>
      <c r="R162" s="16"/>
      <c r="S162" s="25"/>
      <c r="T162" s="22"/>
      <c r="U162" s="25"/>
      <c r="V162" s="22"/>
      <c r="W162" s="25"/>
    </row>
    <row r="163" spans="1:23" x14ac:dyDescent="0.2">
      <c r="A163" s="6"/>
      <c r="B163" s="19"/>
      <c r="C163" s="16"/>
      <c r="D163" s="19"/>
      <c r="E163" s="16"/>
      <c r="F163" s="19"/>
      <c r="G163" s="16"/>
      <c r="H163" s="22"/>
      <c r="I163" s="25"/>
      <c r="J163" s="22"/>
      <c r="K163" s="25"/>
      <c r="L163" s="22"/>
      <c r="M163" s="25"/>
      <c r="N163" s="19"/>
      <c r="O163" s="19"/>
      <c r="P163" s="16"/>
      <c r="Q163" s="19"/>
      <c r="R163" s="16"/>
      <c r="S163" s="25"/>
      <c r="T163" s="22"/>
      <c r="U163" s="25"/>
      <c r="V163" s="22"/>
      <c r="W163" s="25"/>
    </row>
    <row r="164" spans="1:23" x14ac:dyDescent="0.2">
      <c r="A164" s="6"/>
      <c r="B164" s="19"/>
      <c r="C164" s="16"/>
      <c r="D164" s="19"/>
      <c r="E164" s="16"/>
      <c r="F164" s="19"/>
      <c r="G164" s="16"/>
      <c r="H164" s="22"/>
      <c r="I164" s="25"/>
      <c r="J164" s="22"/>
      <c r="K164" s="25"/>
      <c r="L164" s="22"/>
      <c r="M164" s="25"/>
      <c r="N164" s="19"/>
      <c r="O164" s="19"/>
      <c r="P164" s="16"/>
      <c r="Q164" s="19"/>
      <c r="R164" s="16"/>
      <c r="S164" s="25"/>
      <c r="T164" s="22"/>
      <c r="U164" s="25"/>
      <c r="V164" s="22"/>
      <c r="W164" s="25"/>
    </row>
    <row r="165" spans="1:23" x14ac:dyDescent="0.2">
      <c r="A165" s="6"/>
      <c r="B165" s="19"/>
      <c r="C165" s="16"/>
      <c r="D165" s="19"/>
      <c r="E165" s="16"/>
      <c r="F165" s="19"/>
      <c r="G165" s="16"/>
      <c r="H165" s="22"/>
      <c r="I165" s="25"/>
      <c r="J165" s="22"/>
      <c r="K165" s="25"/>
      <c r="L165" s="22"/>
      <c r="M165" s="25"/>
      <c r="N165" s="19"/>
      <c r="O165" s="19"/>
      <c r="P165" s="16"/>
      <c r="Q165" s="19"/>
      <c r="R165" s="16"/>
      <c r="S165" s="25"/>
      <c r="T165" s="22"/>
      <c r="U165" s="25"/>
      <c r="V165" s="22"/>
      <c r="W165" s="25"/>
    </row>
    <row r="166" spans="1:23" x14ac:dyDescent="0.2">
      <c r="A166" s="6"/>
      <c r="B166" s="19"/>
      <c r="C166" s="16"/>
      <c r="D166" s="19"/>
      <c r="E166" s="16"/>
      <c r="F166" s="19"/>
      <c r="G166" s="16"/>
      <c r="H166" s="22"/>
      <c r="I166" s="25"/>
      <c r="J166" s="22"/>
      <c r="K166" s="25"/>
      <c r="L166" s="22"/>
      <c r="M166" s="25"/>
      <c r="N166" s="19"/>
      <c r="O166" s="19"/>
      <c r="P166" s="16"/>
      <c r="Q166" s="19"/>
      <c r="R166" s="16"/>
      <c r="S166" s="25"/>
      <c r="T166" s="22"/>
      <c r="U166" s="25"/>
      <c r="V166" s="22"/>
      <c r="W166" s="25"/>
    </row>
    <row r="167" spans="1:23" x14ac:dyDescent="0.2">
      <c r="A167" s="6"/>
      <c r="B167" s="19"/>
      <c r="C167" s="16"/>
      <c r="D167" s="19"/>
      <c r="E167" s="16"/>
      <c r="F167" s="19"/>
      <c r="G167" s="16"/>
      <c r="H167" s="22"/>
      <c r="I167" s="25"/>
      <c r="J167" s="22"/>
      <c r="K167" s="25"/>
      <c r="L167" s="22"/>
      <c r="M167" s="25"/>
      <c r="N167" s="19"/>
      <c r="O167" s="19"/>
      <c r="P167" s="16"/>
      <c r="Q167" s="19"/>
      <c r="R167" s="16"/>
      <c r="S167" s="25"/>
      <c r="T167" s="22"/>
      <c r="U167" s="25"/>
      <c r="V167" s="22"/>
      <c r="W167" s="25"/>
    </row>
    <row r="168" spans="1:23" x14ac:dyDescent="0.2">
      <c r="A168" s="6"/>
      <c r="B168" s="19"/>
      <c r="C168" s="16"/>
      <c r="D168" s="19"/>
      <c r="E168" s="16"/>
      <c r="F168" s="19"/>
      <c r="G168" s="16"/>
      <c r="H168" s="22"/>
      <c r="I168" s="25"/>
      <c r="J168" s="22"/>
      <c r="K168" s="25"/>
      <c r="L168" s="22"/>
      <c r="M168" s="25"/>
      <c r="N168" s="19"/>
      <c r="O168" s="19"/>
      <c r="P168" s="16"/>
      <c r="Q168" s="19"/>
      <c r="R168" s="16"/>
      <c r="S168" s="25"/>
      <c r="T168" s="22"/>
      <c r="U168" s="25"/>
      <c r="V168" s="22"/>
      <c r="W168" s="25"/>
    </row>
    <row r="169" spans="1:23" x14ac:dyDescent="0.2">
      <c r="A169" s="6"/>
      <c r="B169" s="19"/>
      <c r="C169" s="16"/>
      <c r="D169" s="19"/>
      <c r="E169" s="16"/>
      <c r="F169" s="19"/>
      <c r="G169" s="16"/>
      <c r="H169" s="22"/>
      <c r="I169" s="25"/>
      <c r="J169" s="22"/>
      <c r="K169" s="25"/>
      <c r="L169" s="22"/>
      <c r="M169" s="25"/>
      <c r="N169" s="19"/>
      <c r="O169" s="19"/>
      <c r="P169" s="16"/>
      <c r="Q169" s="19"/>
      <c r="R169" s="16"/>
      <c r="S169" s="25"/>
      <c r="T169" s="22"/>
      <c r="U169" s="25"/>
      <c r="V169" s="22"/>
      <c r="W169" s="25"/>
    </row>
    <row r="170" spans="1:23" x14ac:dyDescent="0.2">
      <c r="A170" s="6"/>
      <c r="B170" s="19"/>
      <c r="C170" s="16"/>
      <c r="D170" s="19"/>
      <c r="E170" s="16"/>
      <c r="F170" s="19"/>
      <c r="G170" s="16"/>
      <c r="H170" s="22"/>
      <c r="I170" s="25"/>
      <c r="J170" s="22"/>
      <c r="K170" s="25"/>
      <c r="L170" s="22"/>
      <c r="M170" s="25"/>
      <c r="N170" s="19"/>
      <c r="O170" s="19"/>
      <c r="P170" s="16"/>
      <c r="Q170" s="19"/>
      <c r="R170" s="16"/>
      <c r="S170" s="25"/>
      <c r="T170" s="22"/>
      <c r="U170" s="25"/>
      <c r="V170" s="22"/>
      <c r="W170" s="25"/>
    </row>
    <row r="171" spans="1:23" x14ac:dyDescent="0.2">
      <c r="A171" s="6"/>
      <c r="B171" s="19"/>
      <c r="C171" s="16"/>
      <c r="D171" s="19"/>
      <c r="E171" s="16"/>
      <c r="F171" s="19"/>
      <c r="G171" s="16"/>
      <c r="H171" s="22"/>
      <c r="I171" s="25"/>
      <c r="J171" s="22"/>
      <c r="K171" s="25"/>
      <c r="L171" s="22"/>
      <c r="M171" s="25"/>
      <c r="N171" s="19"/>
      <c r="O171" s="19"/>
      <c r="P171" s="16"/>
      <c r="Q171" s="19"/>
      <c r="R171" s="16"/>
      <c r="S171" s="25"/>
      <c r="T171" s="22"/>
      <c r="U171" s="25"/>
      <c r="V171" s="22"/>
      <c r="W171" s="25"/>
    </row>
    <row r="172" spans="1:23" x14ac:dyDescent="0.2">
      <c r="A172" s="6"/>
      <c r="B172" s="19"/>
      <c r="C172" s="16"/>
      <c r="D172" s="19"/>
      <c r="E172" s="16"/>
      <c r="F172" s="19"/>
      <c r="G172" s="16"/>
      <c r="H172" s="22"/>
      <c r="I172" s="25"/>
      <c r="J172" s="22"/>
      <c r="K172" s="25"/>
      <c r="L172" s="22"/>
      <c r="M172" s="25"/>
      <c r="N172" s="19"/>
      <c r="O172" s="19"/>
      <c r="P172" s="16"/>
      <c r="Q172" s="19"/>
      <c r="R172" s="16"/>
      <c r="S172" s="25"/>
      <c r="T172" s="22"/>
      <c r="U172" s="25"/>
      <c r="V172" s="22"/>
      <c r="W172" s="25"/>
    </row>
    <row r="173" spans="1:23" x14ac:dyDescent="0.2">
      <c r="A173" s="6"/>
      <c r="B173" s="19"/>
      <c r="C173" s="16"/>
      <c r="D173" s="19"/>
      <c r="E173" s="16"/>
      <c r="F173" s="19"/>
      <c r="G173" s="16"/>
      <c r="H173" s="22"/>
      <c r="I173" s="25"/>
      <c r="J173" s="22"/>
      <c r="K173" s="25"/>
      <c r="L173" s="22"/>
      <c r="M173" s="25"/>
      <c r="N173" s="19"/>
      <c r="O173" s="19"/>
      <c r="P173" s="16"/>
      <c r="Q173" s="19"/>
      <c r="R173" s="16"/>
      <c r="S173" s="25"/>
      <c r="T173" s="22"/>
      <c r="U173" s="25"/>
      <c r="V173" s="22"/>
      <c r="W173" s="25"/>
    </row>
    <row r="174" spans="1:23" x14ac:dyDescent="0.2">
      <c r="A174" s="6"/>
      <c r="B174" s="19"/>
      <c r="C174" s="16"/>
      <c r="D174" s="19"/>
      <c r="E174" s="16"/>
      <c r="F174" s="19"/>
      <c r="G174" s="16"/>
      <c r="H174" s="22"/>
      <c r="I174" s="25"/>
      <c r="J174" s="22"/>
      <c r="K174" s="25"/>
      <c r="L174" s="22"/>
      <c r="M174" s="25"/>
      <c r="N174" s="19"/>
      <c r="O174" s="19"/>
      <c r="P174" s="16"/>
      <c r="Q174" s="19"/>
      <c r="R174" s="16"/>
      <c r="S174" s="25"/>
      <c r="T174" s="22"/>
      <c r="U174" s="25"/>
      <c r="V174" s="22"/>
      <c r="W174" s="25"/>
    </row>
    <row r="175" spans="1:23" x14ac:dyDescent="0.2">
      <c r="A175" s="6"/>
      <c r="B175" s="19"/>
      <c r="C175" s="16"/>
      <c r="D175" s="19"/>
      <c r="E175" s="16"/>
      <c r="F175" s="19"/>
      <c r="G175" s="16"/>
      <c r="H175" s="22"/>
      <c r="I175" s="25"/>
      <c r="J175" s="22"/>
      <c r="K175" s="25"/>
      <c r="L175" s="22"/>
      <c r="M175" s="25"/>
      <c r="N175" s="19"/>
      <c r="O175" s="19"/>
      <c r="P175" s="16"/>
      <c r="Q175" s="19"/>
      <c r="R175" s="16"/>
      <c r="S175" s="25"/>
      <c r="T175" s="22"/>
      <c r="U175" s="25"/>
      <c r="V175" s="22"/>
      <c r="W175" s="25"/>
    </row>
    <row r="176" spans="1:23" x14ac:dyDescent="0.2">
      <c r="A176" s="6"/>
      <c r="B176" s="19"/>
      <c r="C176" s="16"/>
      <c r="D176" s="19"/>
      <c r="E176" s="16"/>
      <c r="F176" s="19"/>
      <c r="G176" s="16"/>
      <c r="H176" s="22"/>
      <c r="I176" s="25"/>
      <c r="J176" s="22"/>
      <c r="K176" s="25"/>
      <c r="L176" s="22"/>
      <c r="M176" s="25"/>
      <c r="N176" s="19"/>
      <c r="O176" s="19"/>
      <c r="P176" s="16"/>
      <c r="Q176" s="19"/>
      <c r="R176" s="16"/>
      <c r="S176" s="25"/>
      <c r="T176" s="22"/>
      <c r="U176" s="25"/>
      <c r="V176" s="22"/>
      <c r="W176" s="25"/>
    </row>
    <row r="177" spans="1:23" x14ac:dyDescent="0.2">
      <c r="A177" s="6"/>
      <c r="B177" s="19"/>
      <c r="C177" s="16"/>
      <c r="D177" s="19"/>
      <c r="E177" s="16"/>
      <c r="F177" s="19"/>
      <c r="G177" s="16"/>
      <c r="H177" s="22"/>
      <c r="I177" s="25"/>
      <c r="J177" s="22"/>
      <c r="K177" s="25"/>
      <c r="L177" s="22"/>
      <c r="M177" s="25"/>
      <c r="N177" s="19"/>
      <c r="O177" s="19"/>
      <c r="P177" s="16"/>
      <c r="Q177" s="19"/>
      <c r="R177" s="16"/>
      <c r="S177" s="25"/>
      <c r="T177" s="22"/>
      <c r="U177" s="25"/>
      <c r="V177" s="22"/>
      <c r="W177" s="25"/>
    </row>
    <row r="178" spans="1:23" x14ac:dyDescent="0.2">
      <c r="A178" s="6"/>
      <c r="B178" s="19"/>
      <c r="C178" s="16"/>
      <c r="D178" s="19"/>
      <c r="E178" s="16"/>
      <c r="F178" s="19"/>
      <c r="G178" s="16"/>
      <c r="H178" s="22"/>
      <c r="I178" s="25"/>
      <c r="J178" s="22"/>
      <c r="K178" s="25"/>
      <c r="L178" s="22"/>
      <c r="M178" s="25"/>
      <c r="N178" s="19"/>
      <c r="O178" s="19"/>
      <c r="P178" s="16"/>
      <c r="Q178" s="19"/>
      <c r="R178" s="16"/>
      <c r="S178" s="25"/>
      <c r="T178" s="22"/>
      <c r="U178" s="25"/>
      <c r="V178" s="22"/>
      <c r="W178" s="25"/>
    </row>
    <row r="179" spans="1:23" x14ac:dyDescent="0.2">
      <c r="A179" s="6"/>
      <c r="B179" s="19"/>
      <c r="C179" s="16"/>
      <c r="D179" s="19"/>
      <c r="E179" s="16"/>
      <c r="F179" s="19"/>
      <c r="G179" s="16"/>
      <c r="H179" s="22"/>
      <c r="I179" s="25"/>
      <c r="J179" s="22"/>
      <c r="K179" s="25"/>
      <c r="L179" s="22"/>
      <c r="M179" s="25"/>
      <c r="N179" s="19"/>
      <c r="O179" s="19"/>
      <c r="P179" s="16"/>
      <c r="Q179" s="19"/>
      <c r="R179" s="16"/>
      <c r="S179" s="25"/>
      <c r="T179" s="22"/>
      <c r="U179" s="25"/>
      <c r="V179" s="22"/>
      <c r="W179" s="25"/>
    </row>
    <row r="180" spans="1:23" x14ac:dyDescent="0.2">
      <c r="A180" s="6"/>
      <c r="B180" s="19"/>
      <c r="C180" s="16"/>
      <c r="D180" s="19"/>
      <c r="E180" s="16"/>
      <c r="F180" s="19"/>
      <c r="G180" s="16"/>
      <c r="H180" s="22"/>
      <c r="I180" s="25"/>
      <c r="J180" s="22"/>
      <c r="K180" s="25"/>
      <c r="L180" s="22"/>
      <c r="M180" s="25"/>
      <c r="N180" s="19"/>
      <c r="O180" s="19"/>
      <c r="P180" s="16"/>
      <c r="Q180" s="19"/>
      <c r="R180" s="16"/>
      <c r="S180" s="25"/>
      <c r="T180" s="22"/>
      <c r="U180" s="25"/>
      <c r="V180" s="22"/>
      <c r="W180" s="25"/>
    </row>
    <row r="181" spans="1:23" x14ac:dyDescent="0.2">
      <c r="A181" s="6"/>
      <c r="B181" s="19"/>
      <c r="C181" s="16"/>
      <c r="D181" s="19"/>
      <c r="E181" s="16"/>
      <c r="F181" s="19"/>
      <c r="G181" s="16"/>
      <c r="H181" s="22"/>
      <c r="I181" s="25"/>
      <c r="J181" s="22"/>
      <c r="K181" s="25"/>
      <c r="L181" s="22"/>
      <c r="M181" s="25"/>
      <c r="N181" s="19"/>
      <c r="O181" s="19"/>
      <c r="P181" s="16"/>
      <c r="Q181" s="19"/>
      <c r="R181" s="16"/>
      <c r="S181" s="25"/>
      <c r="T181" s="22"/>
      <c r="U181" s="25"/>
      <c r="V181" s="22"/>
      <c r="W181" s="25"/>
    </row>
    <row r="182" spans="1:23" x14ac:dyDescent="0.2">
      <c r="A182" s="6"/>
      <c r="B182" s="19"/>
      <c r="C182" s="16"/>
      <c r="D182" s="19"/>
      <c r="E182" s="16"/>
      <c r="F182" s="19"/>
      <c r="G182" s="16"/>
      <c r="H182" s="22"/>
      <c r="I182" s="25"/>
      <c r="J182" s="22"/>
      <c r="K182" s="25"/>
      <c r="L182" s="22"/>
      <c r="M182" s="25"/>
      <c r="N182" s="19"/>
      <c r="O182" s="19"/>
      <c r="P182" s="16"/>
      <c r="Q182" s="19"/>
      <c r="R182" s="16"/>
      <c r="S182" s="25"/>
      <c r="T182" s="22"/>
      <c r="U182" s="25"/>
      <c r="V182" s="22"/>
      <c r="W182" s="25"/>
    </row>
    <row r="183" spans="1:23" x14ac:dyDescent="0.2">
      <c r="A183" s="6"/>
      <c r="B183" s="19"/>
      <c r="C183" s="16"/>
      <c r="D183" s="19"/>
      <c r="E183" s="16"/>
      <c r="F183" s="19"/>
      <c r="G183" s="16"/>
      <c r="H183" s="22"/>
      <c r="I183" s="25"/>
      <c r="J183" s="22"/>
      <c r="K183" s="25"/>
      <c r="L183" s="22"/>
      <c r="M183" s="25"/>
      <c r="N183" s="19"/>
      <c r="O183" s="19"/>
      <c r="P183" s="16"/>
      <c r="Q183" s="19"/>
      <c r="R183" s="16"/>
      <c r="S183" s="25"/>
      <c r="T183" s="22"/>
      <c r="U183" s="25"/>
      <c r="V183" s="22"/>
      <c r="W183" s="25"/>
    </row>
    <row r="184" spans="1:23" x14ac:dyDescent="0.2">
      <c r="A184" s="6"/>
      <c r="B184" s="19"/>
      <c r="C184" s="16"/>
      <c r="D184" s="19"/>
      <c r="E184" s="16"/>
      <c r="F184" s="19"/>
      <c r="G184" s="16"/>
      <c r="H184" s="22"/>
      <c r="I184" s="25"/>
      <c r="J184" s="22"/>
      <c r="K184" s="25"/>
      <c r="L184" s="22"/>
      <c r="M184" s="25"/>
      <c r="N184" s="19"/>
      <c r="O184" s="19"/>
      <c r="P184" s="16"/>
      <c r="Q184" s="19"/>
      <c r="R184" s="16"/>
      <c r="S184" s="25"/>
      <c r="T184" s="22"/>
      <c r="U184" s="25"/>
      <c r="V184" s="22"/>
      <c r="W184" s="25"/>
    </row>
    <row r="185" spans="1:23" x14ac:dyDescent="0.2">
      <c r="A185" s="6"/>
      <c r="B185" s="19"/>
      <c r="C185" s="16"/>
      <c r="D185" s="19"/>
      <c r="E185" s="16"/>
      <c r="F185" s="19"/>
      <c r="G185" s="16"/>
      <c r="H185" s="22"/>
      <c r="I185" s="25"/>
      <c r="J185" s="22"/>
      <c r="K185" s="25"/>
      <c r="L185" s="22"/>
      <c r="M185" s="25"/>
      <c r="N185" s="19"/>
      <c r="O185" s="19"/>
      <c r="P185" s="16"/>
      <c r="Q185" s="19"/>
      <c r="R185" s="16"/>
      <c r="S185" s="25"/>
      <c r="T185" s="22"/>
      <c r="U185" s="25"/>
      <c r="V185" s="22"/>
      <c r="W185" s="25"/>
    </row>
    <row r="186" spans="1:23" x14ac:dyDescent="0.2">
      <c r="A186" s="6"/>
      <c r="B186" s="19"/>
      <c r="C186" s="16"/>
      <c r="D186" s="19"/>
      <c r="E186" s="16"/>
      <c r="F186" s="19"/>
      <c r="G186" s="16"/>
      <c r="H186" s="22"/>
      <c r="I186" s="25"/>
      <c r="J186" s="22"/>
      <c r="K186" s="25"/>
      <c r="L186" s="22"/>
      <c r="M186" s="25"/>
      <c r="N186" s="19"/>
      <c r="O186" s="19"/>
      <c r="P186" s="16"/>
      <c r="Q186" s="19"/>
      <c r="R186" s="16"/>
      <c r="S186" s="25"/>
      <c r="T186" s="22"/>
      <c r="U186" s="25"/>
      <c r="V186" s="22"/>
      <c r="W186" s="25"/>
    </row>
    <row r="187" spans="1:23" x14ac:dyDescent="0.2">
      <c r="A187" s="6"/>
      <c r="B187" s="19"/>
      <c r="C187" s="16"/>
      <c r="D187" s="19"/>
      <c r="E187" s="16"/>
      <c r="F187" s="19"/>
      <c r="G187" s="16"/>
      <c r="H187" s="22"/>
      <c r="I187" s="25"/>
      <c r="J187" s="22"/>
      <c r="K187" s="25"/>
      <c r="L187" s="22"/>
      <c r="M187" s="25"/>
      <c r="N187" s="19"/>
      <c r="O187" s="19"/>
      <c r="P187" s="16"/>
      <c r="Q187" s="19"/>
      <c r="R187" s="16"/>
      <c r="S187" s="25"/>
      <c r="T187" s="22"/>
      <c r="U187" s="25"/>
      <c r="V187" s="22"/>
      <c r="W187" s="25"/>
    </row>
    <row r="188" spans="1:23" x14ac:dyDescent="0.2">
      <c r="A188" s="6"/>
      <c r="B188" s="19"/>
      <c r="C188" s="16"/>
      <c r="D188" s="19"/>
      <c r="E188" s="16"/>
      <c r="F188" s="19"/>
      <c r="G188" s="16"/>
      <c r="H188" s="22"/>
      <c r="I188" s="25"/>
      <c r="J188" s="22"/>
      <c r="K188" s="25"/>
      <c r="L188" s="22"/>
      <c r="M188" s="25"/>
      <c r="N188" s="19"/>
      <c r="O188" s="19"/>
      <c r="P188" s="16"/>
      <c r="Q188" s="19"/>
      <c r="R188" s="16"/>
      <c r="S188" s="25"/>
      <c r="T188" s="22"/>
      <c r="U188" s="25"/>
      <c r="V188" s="22"/>
      <c r="W188" s="25"/>
    </row>
    <row r="189" spans="1:23" x14ac:dyDescent="0.2">
      <c r="A189" s="6"/>
      <c r="B189" s="19"/>
      <c r="C189" s="16"/>
      <c r="D189" s="19"/>
      <c r="E189" s="16"/>
      <c r="F189" s="19"/>
      <c r="G189" s="16"/>
      <c r="H189" s="22"/>
      <c r="I189" s="25"/>
      <c r="J189" s="22"/>
      <c r="K189" s="25"/>
      <c r="L189" s="22"/>
      <c r="M189" s="25"/>
      <c r="N189" s="19"/>
      <c r="O189" s="19"/>
      <c r="P189" s="16"/>
      <c r="Q189" s="19"/>
      <c r="R189" s="16"/>
      <c r="S189" s="25"/>
      <c r="T189" s="22"/>
      <c r="U189" s="25"/>
      <c r="V189" s="22"/>
      <c r="W189" s="25"/>
    </row>
    <row r="190" spans="1:23" x14ac:dyDescent="0.2">
      <c r="A190" s="6"/>
      <c r="B190" s="19"/>
      <c r="C190" s="16"/>
      <c r="D190" s="19"/>
      <c r="E190" s="16"/>
      <c r="F190" s="19"/>
      <c r="G190" s="16"/>
      <c r="H190" s="22"/>
      <c r="I190" s="25"/>
      <c r="J190" s="22"/>
      <c r="K190" s="25"/>
      <c r="L190" s="22"/>
      <c r="M190" s="25"/>
      <c r="N190" s="19"/>
      <c r="O190" s="19"/>
      <c r="P190" s="16"/>
      <c r="Q190" s="19"/>
      <c r="R190" s="16"/>
      <c r="S190" s="25"/>
      <c r="T190" s="22"/>
      <c r="U190" s="25"/>
      <c r="V190" s="22"/>
      <c r="W190" s="25"/>
    </row>
    <row r="191" spans="1:23" x14ac:dyDescent="0.2">
      <c r="A191" s="6"/>
      <c r="B191" s="19"/>
      <c r="C191" s="16"/>
      <c r="D191" s="19"/>
      <c r="E191" s="16"/>
      <c r="F191" s="19"/>
      <c r="G191" s="16"/>
      <c r="H191" s="22"/>
      <c r="I191" s="25"/>
      <c r="J191" s="22"/>
      <c r="K191" s="25"/>
      <c r="L191" s="22"/>
      <c r="M191" s="25"/>
      <c r="N191" s="19"/>
      <c r="O191" s="19"/>
      <c r="P191" s="16"/>
      <c r="Q191" s="19"/>
      <c r="R191" s="16"/>
      <c r="S191" s="25"/>
      <c r="T191" s="22"/>
      <c r="U191" s="25"/>
      <c r="V191" s="22"/>
      <c r="W191" s="25"/>
    </row>
    <row r="192" spans="1:23" x14ac:dyDescent="0.2">
      <c r="A192" s="6"/>
      <c r="B192" s="19"/>
      <c r="C192" s="16"/>
      <c r="D192" s="19"/>
      <c r="E192" s="16"/>
      <c r="F192" s="19"/>
      <c r="G192" s="16"/>
      <c r="H192" s="22"/>
      <c r="I192" s="25"/>
      <c r="J192" s="22"/>
      <c r="K192" s="25"/>
      <c r="L192" s="22"/>
      <c r="M192" s="25"/>
      <c r="N192" s="19"/>
      <c r="O192" s="19"/>
      <c r="P192" s="16"/>
      <c r="Q192" s="19"/>
      <c r="R192" s="16"/>
      <c r="S192" s="25"/>
      <c r="T192" s="22"/>
      <c r="U192" s="25"/>
      <c r="V192" s="22"/>
      <c r="W192" s="25"/>
    </row>
    <row r="193" spans="1:23" x14ac:dyDescent="0.2">
      <c r="A193" s="6"/>
      <c r="B193" s="19"/>
      <c r="C193" s="16"/>
      <c r="D193" s="19"/>
      <c r="E193" s="16"/>
      <c r="F193" s="19"/>
      <c r="G193" s="16"/>
      <c r="H193" s="22"/>
      <c r="I193" s="25"/>
      <c r="J193" s="22"/>
      <c r="K193" s="25"/>
      <c r="L193" s="22"/>
      <c r="M193" s="25"/>
      <c r="N193" s="19"/>
      <c r="O193" s="19"/>
      <c r="P193" s="16"/>
      <c r="Q193" s="19"/>
      <c r="R193" s="16"/>
      <c r="S193" s="25"/>
      <c r="T193" s="22"/>
      <c r="U193" s="25"/>
      <c r="V193" s="22"/>
      <c r="W193" s="25"/>
    </row>
    <row r="194" spans="1:23" x14ac:dyDescent="0.2">
      <c r="A194" s="6"/>
      <c r="B194" s="19"/>
      <c r="C194" s="16"/>
      <c r="D194" s="19"/>
      <c r="E194" s="16"/>
      <c r="F194" s="19"/>
      <c r="G194" s="16"/>
      <c r="H194" s="22"/>
      <c r="I194" s="25"/>
      <c r="J194" s="22"/>
      <c r="K194" s="25"/>
      <c r="L194" s="22"/>
      <c r="M194" s="25"/>
      <c r="N194" s="19"/>
      <c r="O194" s="19"/>
      <c r="P194" s="16"/>
      <c r="Q194" s="19"/>
      <c r="R194" s="16"/>
      <c r="S194" s="25"/>
      <c r="T194" s="22"/>
      <c r="U194" s="25"/>
      <c r="V194" s="22"/>
      <c r="W194" s="25"/>
    </row>
    <row r="195" spans="1:23" x14ac:dyDescent="0.2">
      <c r="A195" s="6"/>
      <c r="B195" s="19"/>
      <c r="C195" s="16"/>
      <c r="D195" s="19"/>
      <c r="E195" s="16"/>
      <c r="F195" s="19"/>
      <c r="G195" s="16"/>
      <c r="H195" s="22"/>
      <c r="I195" s="25"/>
      <c r="J195" s="22"/>
      <c r="K195" s="25"/>
      <c r="L195" s="22"/>
      <c r="M195" s="25"/>
      <c r="N195" s="19"/>
      <c r="O195" s="19"/>
      <c r="P195" s="16"/>
      <c r="Q195" s="19"/>
      <c r="R195" s="16"/>
      <c r="S195" s="25"/>
      <c r="T195" s="22"/>
      <c r="U195" s="25"/>
      <c r="V195" s="22"/>
      <c r="W195" s="25"/>
    </row>
    <row r="196" spans="1:23" x14ac:dyDescent="0.2">
      <c r="A196" s="6"/>
      <c r="B196" s="19"/>
      <c r="C196" s="16"/>
      <c r="D196" s="19"/>
      <c r="E196" s="16"/>
      <c r="F196" s="19"/>
      <c r="G196" s="16"/>
      <c r="H196" s="22"/>
      <c r="I196" s="25"/>
      <c r="J196" s="22"/>
      <c r="K196" s="25"/>
      <c r="L196" s="22"/>
      <c r="M196" s="25"/>
      <c r="N196" s="19"/>
      <c r="O196" s="19"/>
      <c r="P196" s="16"/>
      <c r="Q196" s="19"/>
      <c r="R196" s="16"/>
      <c r="S196" s="25"/>
      <c r="T196" s="22"/>
      <c r="U196" s="25"/>
      <c r="V196" s="22"/>
      <c r="W196" s="25"/>
    </row>
    <row r="197" spans="1:23" x14ac:dyDescent="0.2">
      <c r="A197" s="6"/>
      <c r="B197" s="19"/>
      <c r="C197" s="16"/>
      <c r="D197" s="19"/>
      <c r="E197" s="16"/>
      <c r="F197" s="19"/>
      <c r="G197" s="16"/>
      <c r="H197" s="22"/>
      <c r="I197" s="25"/>
      <c r="J197" s="22"/>
      <c r="K197" s="25"/>
      <c r="L197" s="22"/>
      <c r="M197" s="25"/>
      <c r="N197" s="19"/>
      <c r="O197" s="19"/>
      <c r="P197" s="16"/>
      <c r="Q197" s="19"/>
      <c r="R197" s="16"/>
      <c r="S197" s="25"/>
      <c r="T197" s="22"/>
      <c r="U197" s="25"/>
      <c r="V197" s="22"/>
      <c r="W197" s="25"/>
    </row>
    <row r="198" spans="1:23" x14ac:dyDescent="0.2">
      <c r="A198" s="6"/>
      <c r="B198" s="19"/>
      <c r="C198" s="16"/>
      <c r="D198" s="19"/>
      <c r="E198" s="16"/>
      <c r="F198" s="19"/>
      <c r="G198" s="16"/>
      <c r="H198" s="22"/>
      <c r="I198" s="25"/>
      <c r="J198" s="22"/>
      <c r="K198" s="25"/>
      <c r="L198" s="22"/>
      <c r="M198" s="25"/>
      <c r="N198" s="19"/>
      <c r="O198" s="19"/>
      <c r="P198" s="16"/>
      <c r="Q198" s="19"/>
      <c r="R198" s="16"/>
      <c r="S198" s="25"/>
      <c r="T198" s="22"/>
      <c r="U198" s="25"/>
      <c r="V198" s="22"/>
      <c r="W198" s="25"/>
    </row>
    <row r="199" spans="1:23" x14ac:dyDescent="0.2">
      <c r="A199" s="6"/>
      <c r="B199" s="19"/>
      <c r="C199" s="16"/>
      <c r="D199" s="19"/>
      <c r="E199" s="16"/>
      <c r="F199" s="19"/>
      <c r="G199" s="16"/>
      <c r="H199" s="22"/>
      <c r="I199" s="25"/>
      <c r="J199" s="22"/>
      <c r="K199" s="25"/>
      <c r="L199" s="22"/>
      <c r="M199" s="25"/>
      <c r="N199" s="19"/>
      <c r="O199" s="19"/>
      <c r="P199" s="16"/>
      <c r="Q199" s="19"/>
      <c r="R199" s="16"/>
      <c r="S199" s="25"/>
      <c r="T199" s="22"/>
      <c r="U199" s="25"/>
      <c r="V199" s="22"/>
      <c r="W199" s="25"/>
    </row>
    <row r="200" spans="1:23" x14ac:dyDescent="0.2">
      <c r="A200" s="6"/>
      <c r="B200" s="19"/>
      <c r="C200" s="16"/>
      <c r="D200" s="19"/>
      <c r="E200" s="16"/>
      <c r="F200" s="19"/>
      <c r="G200" s="16"/>
      <c r="H200" s="22"/>
      <c r="I200" s="25"/>
      <c r="J200" s="22"/>
      <c r="K200" s="25"/>
      <c r="L200" s="22"/>
      <c r="M200" s="25"/>
      <c r="N200" s="19"/>
      <c r="O200" s="19"/>
      <c r="P200" s="16"/>
      <c r="Q200" s="19"/>
      <c r="R200" s="16"/>
      <c r="S200" s="25"/>
      <c r="T200" s="22"/>
      <c r="U200" s="25"/>
      <c r="V200" s="22"/>
      <c r="W200" s="25"/>
    </row>
    <row r="201" spans="1:23" x14ac:dyDescent="0.2">
      <c r="A201" s="6"/>
      <c r="B201" s="19"/>
      <c r="C201" s="16"/>
      <c r="D201" s="19"/>
      <c r="E201" s="16"/>
      <c r="F201" s="19"/>
      <c r="G201" s="16"/>
      <c r="H201" s="22"/>
      <c r="I201" s="25"/>
      <c r="J201" s="22"/>
      <c r="K201" s="25"/>
      <c r="L201" s="22"/>
      <c r="M201" s="25"/>
      <c r="N201" s="19"/>
      <c r="O201" s="19"/>
      <c r="P201" s="16"/>
      <c r="Q201" s="19"/>
      <c r="R201" s="16"/>
      <c r="S201" s="25"/>
      <c r="T201" s="22"/>
      <c r="U201" s="25"/>
      <c r="V201" s="22"/>
      <c r="W201" s="25"/>
    </row>
    <row r="202" spans="1:23" x14ac:dyDescent="0.2">
      <c r="A202" s="6"/>
      <c r="B202" s="19"/>
      <c r="C202" s="16"/>
      <c r="D202" s="19"/>
      <c r="E202" s="16"/>
      <c r="F202" s="19"/>
      <c r="G202" s="16"/>
      <c r="H202" s="22"/>
      <c r="I202" s="25"/>
      <c r="J202" s="22"/>
      <c r="K202" s="25"/>
      <c r="L202" s="22"/>
      <c r="M202" s="25"/>
      <c r="N202" s="19"/>
      <c r="O202" s="19"/>
      <c r="P202" s="16"/>
      <c r="Q202" s="19"/>
      <c r="R202" s="16"/>
      <c r="S202" s="25"/>
      <c r="T202" s="22"/>
      <c r="U202" s="25"/>
      <c r="V202" s="22"/>
      <c r="W202" s="25"/>
    </row>
    <row r="203" spans="1:23" x14ac:dyDescent="0.2">
      <c r="A203" s="6"/>
      <c r="B203" s="19"/>
      <c r="C203" s="16"/>
      <c r="D203" s="19"/>
      <c r="E203" s="16"/>
      <c r="F203" s="19"/>
      <c r="G203" s="16"/>
      <c r="H203" s="22"/>
      <c r="I203" s="25"/>
      <c r="J203" s="22"/>
      <c r="K203" s="25"/>
      <c r="L203" s="22"/>
      <c r="M203" s="25"/>
      <c r="N203" s="19"/>
      <c r="O203" s="19"/>
      <c r="P203" s="16"/>
      <c r="Q203" s="19"/>
      <c r="R203" s="16"/>
      <c r="S203" s="25"/>
      <c r="T203" s="22"/>
      <c r="U203" s="25"/>
      <c r="V203" s="22"/>
      <c r="W203" s="25"/>
    </row>
    <row r="204" spans="1:23" x14ac:dyDescent="0.2">
      <c r="A204" s="6"/>
      <c r="B204" s="19"/>
      <c r="C204" s="16"/>
      <c r="D204" s="19"/>
      <c r="E204" s="16"/>
      <c r="F204" s="19"/>
      <c r="G204" s="16"/>
      <c r="H204" s="22"/>
      <c r="I204" s="25"/>
      <c r="J204" s="22"/>
      <c r="K204" s="25"/>
      <c r="L204" s="22"/>
      <c r="M204" s="25"/>
      <c r="N204" s="19"/>
      <c r="O204" s="19"/>
      <c r="P204" s="16"/>
      <c r="Q204" s="19"/>
      <c r="R204" s="16"/>
      <c r="S204" s="25"/>
      <c r="T204" s="22"/>
      <c r="U204" s="25"/>
      <c r="V204" s="22"/>
      <c r="W204" s="25"/>
    </row>
    <row r="205" spans="1:23" x14ac:dyDescent="0.2">
      <c r="A205" s="6"/>
      <c r="B205" s="19"/>
      <c r="C205" s="16"/>
      <c r="D205" s="19"/>
      <c r="E205" s="16"/>
      <c r="F205" s="19"/>
      <c r="G205" s="16"/>
      <c r="H205" s="22"/>
      <c r="I205" s="25"/>
      <c r="J205" s="22"/>
      <c r="K205" s="25"/>
      <c r="L205" s="22"/>
      <c r="M205" s="25"/>
      <c r="N205" s="19"/>
      <c r="O205" s="19"/>
      <c r="P205" s="16"/>
      <c r="Q205" s="19"/>
      <c r="R205" s="16"/>
      <c r="S205" s="25"/>
      <c r="T205" s="22"/>
      <c r="U205" s="25"/>
      <c r="V205" s="22"/>
      <c r="W205" s="25"/>
    </row>
    <row r="206" spans="1:23" x14ac:dyDescent="0.2">
      <c r="A206" s="6"/>
      <c r="B206" s="19"/>
      <c r="C206" s="16"/>
      <c r="D206" s="19"/>
      <c r="E206" s="16"/>
      <c r="F206" s="19"/>
      <c r="G206" s="16"/>
      <c r="H206" s="22"/>
      <c r="I206" s="25"/>
      <c r="J206" s="22"/>
      <c r="K206" s="25"/>
      <c r="L206" s="22"/>
      <c r="M206" s="25"/>
      <c r="N206" s="19"/>
      <c r="O206" s="19"/>
      <c r="P206" s="16"/>
      <c r="Q206" s="19"/>
      <c r="R206" s="16"/>
      <c r="S206" s="25"/>
      <c r="T206" s="22"/>
      <c r="U206" s="25"/>
      <c r="V206" s="22"/>
      <c r="W206" s="25"/>
    </row>
    <row r="207" spans="1:23" x14ac:dyDescent="0.2">
      <c r="A207" s="6"/>
      <c r="B207" s="19"/>
      <c r="C207" s="16"/>
      <c r="D207" s="19"/>
      <c r="E207" s="16"/>
      <c r="F207" s="19"/>
      <c r="G207" s="16"/>
      <c r="H207" s="22"/>
      <c r="I207" s="25"/>
      <c r="J207" s="22"/>
      <c r="K207" s="25"/>
      <c r="L207" s="22"/>
      <c r="M207" s="25"/>
      <c r="N207" s="19"/>
      <c r="O207" s="19"/>
      <c r="P207" s="16"/>
      <c r="Q207" s="19"/>
      <c r="R207" s="16"/>
      <c r="S207" s="25"/>
      <c r="T207" s="22"/>
      <c r="U207" s="25"/>
      <c r="V207" s="22"/>
      <c r="W207" s="25"/>
    </row>
    <row r="208" spans="1:23" x14ac:dyDescent="0.2">
      <c r="A208" s="6"/>
      <c r="B208" s="19"/>
      <c r="C208" s="16"/>
      <c r="D208" s="19"/>
      <c r="E208" s="16"/>
      <c r="F208" s="19"/>
      <c r="G208" s="16"/>
      <c r="H208" s="22"/>
      <c r="I208" s="25"/>
      <c r="J208" s="22"/>
      <c r="K208" s="25"/>
      <c r="L208" s="22"/>
      <c r="M208" s="25"/>
      <c r="N208" s="19"/>
      <c r="O208" s="19"/>
      <c r="P208" s="16"/>
      <c r="Q208" s="19"/>
      <c r="R208" s="16"/>
      <c r="S208" s="25"/>
      <c r="T208" s="22"/>
      <c r="U208" s="25"/>
      <c r="V208" s="22"/>
      <c r="W208" s="25"/>
    </row>
    <row r="209" spans="1:23" x14ac:dyDescent="0.2">
      <c r="A209" s="6"/>
      <c r="B209" s="19"/>
      <c r="C209" s="16"/>
      <c r="D209" s="19"/>
      <c r="E209" s="16"/>
      <c r="F209" s="19"/>
      <c r="G209" s="16"/>
      <c r="H209" s="22"/>
      <c r="I209" s="25"/>
      <c r="J209" s="22"/>
      <c r="K209" s="25"/>
      <c r="L209" s="22"/>
      <c r="M209" s="25"/>
      <c r="N209" s="19"/>
      <c r="O209" s="19"/>
      <c r="P209" s="16"/>
      <c r="Q209" s="19"/>
      <c r="R209" s="16"/>
      <c r="S209" s="25"/>
      <c r="T209" s="22"/>
      <c r="U209" s="25"/>
      <c r="V209" s="22"/>
      <c r="W209" s="25"/>
    </row>
    <row r="210" spans="1:23" x14ac:dyDescent="0.2">
      <c r="A210" s="6"/>
      <c r="B210" s="19"/>
      <c r="C210" s="16"/>
      <c r="D210" s="19"/>
      <c r="E210" s="16"/>
      <c r="F210" s="19"/>
      <c r="G210" s="16"/>
      <c r="H210" s="22"/>
      <c r="I210" s="25"/>
      <c r="J210" s="22"/>
      <c r="K210" s="25"/>
      <c r="L210" s="22"/>
      <c r="M210" s="25"/>
      <c r="N210" s="19"/>
      <c r="O210" s="19"/>
      <c r="P210" s="16"/>
      <c r="Q210" s="19"/>
      <c r="R210" s="16"/>
      <c r="S210" s="25"/>
      <c r="T210" s="22"/>
      <c r="U210" s="25"/>
      <c r="V210" s="22"/>
      <c r="W210" s="25"/>
    </row>
    <row r="211" spans="1:23" x14ac:dyDescent="0.2">
      <c r="A211" s="6"/>
      <c r="B211" s="19"/>
      <c r="C211" s="16"/>
      <c r="D211" s="19"/>
      <c r="E211" s="16"/>
      <c r="F211" s="19"/>
      <c r="G211" s="16"/>
      <c r="H211" s="22"/>
      <c r="I211" s="25"/>
      <c r="J211" s="22"/>
      <c r="K211" s="25"/>
      <c r="L211" s="22"/>
      <c r="M211" s="25"/>
      <c r="N211" s="19"/>
      <c r="O211" s="19"/>
      <c r="P211" s="16"/>
      <c r="Q211" s="19"/>
      <c r="R211" s="16"/>
      <c r="S211" s="25"/>
      <c r="T211" s="22"/>
      <c r="U211" s="25"/>
      <c r="V211" s="22"/>
      <c r="W211" s="25"/>
    </row>
    <row r="212" spans="1:23" x14ac:dyDescent="0.2">
      <c r="A212" s="6"/>
      <c r="B212" s="19"/>
      <c r="C212" s="16"/>
      <c r="D212" s="19"/>
      <c r="E212" s="16"/>
      <c r="F212" s="19"/>
      <c r="G212" s="16"/>
      <c r="H212" s="22"/>
      <c r="I212" s="25"/>
      <c r="J212" s="22"/>
      <c r="K212" s="25"/>
      <c r="L212" s="22"/>
      <c r="M212" s="25"/>
      <c r="N212" s="19"/>
      <c r="O212" s="19"/>
      <c r="P212" s="16"/>
      <c r="Q212" s="19"/>
      <c r="R212" s="16"/>
      <c r="S212" s="25"/>
      <c r="T212" s="22"/>
      <c r="U212" s="25"/>
      <c r="V212" s="22"/>
      <c r="W212" s="25"/>
    </row>
    <row r="213" spans="1:23" x14ac:dyDescent="0.2">
      <c r="A213" s="6"/>
      <c r="B213" s="19"/>
      <c r="C213" s="16"/>
      <c r="D213" s="19"/>
      <c r="E213" s="16"/>
      <c r="F213" s="19"/>
      <c r="G213" s="16"/>
      <c r="H213" s="22"/>
      <c r="I213" s="25"/>
      <c r="J213" s="22"/>
      <c r="K213" s="25"/>
      <c r="L213" s="22"/>
      <c r="M213" s="25"/>
      <c r="N213" s="19"/>
      <c r="O213" s="19"/>
      <c r="P213" s="16"/>
      <c r="Q213" s="19"/>
      <c r="R213" s="16"/>
      <c r="S213" s="25"/>
      <c r="T213" s="22"/>
      <c r="U213" s="25"/>
      <c r="V213" s="22"/>
      <c r="W213" s="25"/>
    </row>
    <row r="214" spans="1:23" x14ac:dyDescent="0.2">
      <c r="A214" s="6"/>
      <c r="B214" s="19"/>
      <c r="C214" s="16"/>
      <c r="D214" s="19"/>
      <c r="E214" s="16"/>
      <c r="F214" s="19"/>
      <c r="G214" s="16"/>
      <c r="H214" s="22"/>
      <c r="I214" s="25"/>
      <c r="J214" s="22"/>
      <c r="K214" s="25"/>
      <c r="L214" s="22"/>
      <c r="M214" s="25"/>
      <c r="N214" s="19"/>
      <c r="O214" s="19"/>
      <c r="P214" s="16"/>
      <c r="Q214" s="19"/>
      <c r="R214" s="16"/>
      <c r="S214" s="25"/>
      <c r="T214" s="22"/>
      <c r="U214" s="25"/>
      <c r="V214" s="22"/>
      <c r="W214" s="25"/>
    </row>
    <row r="215" spans="1:23" x14ac:dyDescent="0.2">
      <c r="A215" s="6"/>
      <c r="B215" s="19"/>
      <c r="C215" s="16"/>
      <c r="D215" s="19"/>
      <c r="E215" s="16"/>
      <c r="F215" s="19"/>
      <c r="G215" s="16"/>
      <c r="H215" s="22"/>
      <c r="I215" s="25"/>
      <c r="J215" s="22"/>
      <c r="K215" s="25"/>
      <c r="L215" s="22"/>
      <c r="M215" s="25"/>
      <c r="N215" s="19"/>
      <c r="O215" s="19"/>
      <c r="P215" s="16"/>
      <c r="Q215" s="19"/>
      <c r="R215" s="16"/>
      <c r="S215" s="25"/>
      <c r="T215" s="22"/>
      <c r="U215" s="25"/>
      <c r="V215" s="22"/>
      <c r="W215" s="25"/>
    </row>
    <row r="216" spans="1:23" x14ac:dyDescent="0.2">
      <c r="A216" s="6"/>
      <c r="B216" s="19"/>
      <c r="C216" s="16"/>
      <c r="D216" s="19"/>
      <c r="E216" s="16"/>
      <c r="F216" s="19"/>
      <c r="G216" s="16"/>
      <c r="H216" s="22"/>
      <c r="I216" s="25"/>
      <c r="J216" s="22"/>
      <c r="K216" s="25"/>
      <c r="L216" s="22"/>
      <c r="M216" s="25"/>
      <c r="N216" s="19"/>
      <c r="O216" s="19"/>
      <c r="P216" s="16"/>
      <c r="Q216" s="19"/>
      <c r="R216" s="16"/>
      <c r="S216" s="25"/>
      <c r="T216" s="22"/>
      <c r="U216" s="25"/>
      <c r="V216" s="22"/>
      <c r="W216" s="25"/>
    </row>
    <row r="217" spans="1:23" x14ac:dyDescent="0.2">
      <c r="A217" s="6"/>
      <c r="B217" s="19"/>
      <c r="C217" s="16"/>
      <c r="D217" s="19"/>
      <c r="E217" s="16"/>
      <c r="F217" s="19"/>
      <c r="G217" s="16"/>
      <c r="H217" s="22"/>
      <c r="I217" s="25"/>
      <c r="J217" s="22"/>
      <c r="K217" s="25"/>
      <c r="L217" s="22"/>
      <c r="M217" s="25"/>
      <c r="N217" s="19"/>
      <c r="O217" s="19"/>
      <c r="P217" s="16"/>
      <c r="Q217" s="19"/>
      <c r="R217" s="16"/>
      <c r="S217" s="25"/>
      <c r="T217" s="22"/>
      <c r="U217" s="25"/>
      <c r="V217" s="22"/>
      <c r="W217" s="25"/>
    </row>
    <row r="218" spans="1:23" x14ac:dyDescent="0.2">
      <c r="A218" s="6"/>
      <c r="B218" s="19"/>
      <c r="C218" s="16"/>
      <c r="D218" s="19"/>
      <c r="E218" s="16"/>
      <c r="F218" s="19"/>
      <c r="G218" s="16"/>
      <c r="H218" s="22"/>
      <c r="I218" s="25"/>
      <c r="J218" s="22"/>
      <c r="K218" s="25"/>
      <c r="L218" s="22"/>
      <c r="M218" s="25"/>
      <c r="N218" s="19"/>
      <c r="O218" s="19"/>
      <c r="P218" s="16"/>
      <c r="Q218" s="19"/>
      <c r="R218" s="16"/>
      <c r="S218" s="25"/>
      <c r="T218" s="22"/>
      <c r="U218" s="25"/>
      <c r="V218" s="22"/>
      <c r="W218" s="25"/>
    </row>
    <row r="219" spans="1:23" x14ac:dyDescent="0.2">
      <c r="A219" s="6"/>
      <c r="B219" s="19"/>
      <c r="C219" s="16"/>
      <c r="D219" s="19"/>
      <c r="E219" s="16"/>
      <c r="F219" s="19"/>
      <c r="G219" s="16"/>
      <c r="H219" s="22"/>
      <c r="I219" s="25"/>
      <c r="J219" s="22"/>
      <c r="K219" s="25"/>
      <c r="L219" s="22"/>
      <c r="M219" s="25"/>
      <c r="N219" s="19"/>
      <c r="O219" s="19"/>
      <c r="P219" s="16"/>
      <c r="Q219" s="19"/>
      <c r="R219" s="16"/>
      <c r="S219" s="25"/>
      <c r="T219" s="22"/>
      <c r="U219" s="25"/>
      <c r="V219" s="22"/>
      <c r="W219" s="25"/>
    </row>
    <row r="220" spans="1:23" x14ac:dyDescent="0.2">
      <c r="A220" s="6"/>
      <c r="B220" s="19"/>
      <c r="C220" s="16"/>
      <c r="D220" s="19"/>
      <c r="E220" s="16"/>
      <c r="F220" s="19"/>
      <c r="G220" s="16"/>
      <c r="H220" s="22"/>
      <c r="I220" s="25"/>
      <c r="J220" s="22"/>
      <c r="K220" s="25"/>
      <c r="L220" s="22"/>
      <c r="M220" s="25"/>
      <c r="N220" s="19"/>
      <c r="O220" s="19"/>
      <c r="P220" s="16"/>
      <c r="Q220" s="19"/>
      <c r="R220" s="16"/>
      <c r="S220" s="25"/>
      <c r="T220" s="22"/>
      <c r="U220" s="25"/>
      <c r="V220" s="22"/>
      <c r="W220" s="25"/>
    </row>
    <row r="221" spans="1:23" x14ac:dyDescent="0.2">
      <c r="A221" s="6"/>
      <c r="B221" s="19"/>
      <c r="C221" s="16"/>
      <c r="D221" s="19"/>
      <c r="E221" s="16"/>
      <c r="F221" s="19"/>
      <c r="G221" s="16"/>
      <c r="H221" s="22"/>
      <c r="I221" s="25"/>
      <c r="J221" s="22"/>
      <c r="K221" s="25"/>
      <c r="L221" s="22"/>
      <c r="M221" s="25"/>
      <c r="N221" s="19"/>
      <c r="O221" s="19"/>
      <c r="P221" s="16"/>
      <c r="Q221" s="19"/>
      <c r="R221" s="16"/>
      <c r="S221" s="25"/>
      <c r="T221" s="22"/>
      <c r="U221" s="25"/>
      <c r="V221" s="22"/>
      <c r="W221" s="25"/>
    </row>
    <row r="222" spans="1:23" x14ac:dyDescent="0.2">
      <c r="A222" s="6"/>
      <c r="B222" s="19"/>
      <c r="C222" s="16"/>
      <c r="D222" s="19"/>
      <c r="E222" s="16"/>
      <c r="F222" s="19"/>
      <c r="G222" s="16"/>
      <c r="H222" s="22"/>
      <c r="I222" s="25"/>
      <c r="J222" s="22"/>
      <c r="K222" s="25"/>
      <c r="L222" s="22"/>
      <c r="M222" s="25"/>
      <c r="N222" s="19"/>
      <c r="O222" s="19"/>
      <c r="P222" s="16"/>
      <c r="Q222" s="19"/>
      <c r="R222" s="16"/>
      <c r="S222" s="25"/>
      <c r="T222" s="22"/>
      <c r="U222" s="25"/>
      <c r="V222" s="22"/>
      <c r="W222" s="25"/>
    </row>
    <row r="223" spans="1:23" x14ac:dyDescent="0.2">
      <c r="A223" s="6"/>
      <c r="B223" s="19"/>
      <c r="C223" s="16"/>
      <c r="D223" s="19"/>
      <c r="E223" s="16"/>
      <c r="F223" s="19"/>
      <c r="G223" s="16"/>
      <c r="H223" s="22"/>
      <c r="I223" s="25"/>
      <c r="J223" s="22"/>
      <c r="K223" s="25"/>
      <c r="L223" s="22"/>
      <c r="M223" s="25"/>
      <c r="N223" s="19"/>
      <c r="O223" s="19"/>
      <c r="P223" s="16"/>
      <c r="Q223" s="19"/>
      <c r="R223" s="16"/>
      <c r="S223" s="25"/>
      <c r="T223" s="22"/>
      <c r="U223" s="25"/>
      <c r="V223" s="22"/>
      <c r="W223" s="25"/>
    </row>
    <row r="224" spans="1:23" x14ac:dyDescent="0.2">
      <c r="A224" s="6"/>
      <c r="B224" s="19"/>
      <c r="C224" s="16"/>
      <c r="D224" s="19"/>
      <c r="E224" s="16"/>
      <c r="F224" s="19"/>
      <c r="G224" s="16"/>
      <c r="H224" s="22"/>
      <c r="I224" s="25"/>
      <c r="J224" s="22"/>
      <c r="K224" s="25"/>
      <c r="L224" s="22"/>
      <c r="M224" s="25"/>
      <c r="N224" s="19"/>
      <c r="O224" s="19"/>
      <c r="P224" s="16"/>
      <c r="Q224" s="19"/>
      <c r="R224" s="16"/>
      <c r="S224" s="25"/>
      <c r="T224" s="22"/>
      <c r="U224" s="25"/>
      <c r="V224" s="22"/>
      <c r="W224" s="25"/>
    </row>
    <row r="225" spans="1:23" x14ac:dyDescent="0.2">
      <c r="A225" s="6"/>
      <c r="B225" s="19"/>
      <c r="C225" s="16"/>
      <c r="D225" s="19"/>
      <c r="E225" s="16"/>
      <c r="F225" s="19"/>
      <c r="G225" s="16"/>
      <c r="H225" s="22"/>
      <c r="I225" s="25"/>
      <c r="J225" s="22"/>
      <c r="K225" s="25"/>
      <c r="L225" s="22"/>
      <c r="M225" s="25"/>
      <c r="N225" s="19"/>
      <c r="O225" s="19"/>
      <c r="P225" s="16"/>
      <c r="Q225" s="19"/>
      <c r="R225" s="16"/>
      <c r="S225" s="25"/>
      <c r="T225" s="22"/>
      <c r="U225" s="25"/>
      <c r="V225" s="22"/>
      <c r="W225" s="25"/>
    </row>
    <row r="226" spans="1:23" x14ac:dyDescent="0.2">
      <c r="A226" s="6"/>
      <c r="B226" s="19"/>
      <c r="C226" s="16"/>
      <c r="D226" s="19"/>
      <c r="E226" s="16"/>
      <c r="F226" s="19"/>
      <c r="G226" s="16"/>
      <c r="H226" s="22"/>
      <c r="I226" s="25"/>
      <c r="J226" s="22"/>
      <c r="K226" s="25"/>
      <c r="L226" s="22"/>
      <c r="M226" s="25"/>
      <c r="N226" s="19"/>
      <c r="O226" s="19"/>
      <c r="P226" s="16"/>
      <c r="Q226" s="19"/>
      <c r="R226" s="16"/>
      <c r="S226" s="25"/>
      <c r="T226" s="22"/>
      <c r="U226" s="25"/>
      <c r="V226" s="22"/>
      <c r="W226" s="25"/>
    </row>
    <row r="227" spans="1:23" x14ac:dyDescent="0.2">
      <c r="A227" s="6"/>
      <c r="B227" s="19"/>
      <c r="C227" s="16"/>
      <c r="D227" s="19"/>
      <c r="E227" s="16"/>
      <c r="F227" s="19"/>
      <c r="G227" s="16"/>
      <c r="H227" s="22"/>
      <c r="I227" s="25"/>
      <c r="J227" s="22"/>
      <c r="K227" s="25"/>
      <c r="L227" s="22"/>
      <c r="M227" s="25"/>
      <c r="N227" s="19"/>
      <c r="O227" s="19"/>
      <c r="P227" s="16"/>
      <c r="Q227" s="19"/>
      <c r="R227" s="16"/>
      <c r="S227" s="25"/>
      <c r="T227" s="22"/>
      <c r="U227" s="25"/>
      <c r="V227" s="22"/>
      <c r="W227" s="25"/>
    </row>
    <row r="228" spans="1:23" x14ac:dyDescent="0.2">
      <c r="A228" s="6"/>
      <c r="B228" s="19"/>
      <c r="C228" s="16"/>
      <c r="D228" s="19"/>
      <c r="E228" s="16"/>
      <c r="F228" s="19"/>
      <c r="G228" s="16"/>
      <c r="H228" s="22"/>
      <c r="I228" s="25"/>
      <c r="J228" s="22"/>
      <c r="K228" s="25"/>
      <c r="L228" s="22"/>
      <c r="M228" s="25"/>
      <c r="N228" s="19"/>
      <c r="O228" s="19"/>
      <c r="P228" s="16"/>
      <c r="Q228" s="19"/>
      <c r="R228" s="16"/>
      <c r="S228" s="25"/>
      <c r="T228" s="22"/>
      <c r="U228" s="25"/>
      <c r="V228" s="22"/>
      <c r="W228" s="25"/>
    </row>
    <row r="229" spans="1:23" x14ac:dyDescent="0.2">
      <c r="A229" s="6"/>
      <c r="B229" s="19"/>
      <c r="C229" s="16"/>
      <c r="D229" s="19"/>
      <c r="E229" s="16"/>
      <c r="F229" s="19"/>
      <c r="G229" s="16"/>
      <c r="H229" s="22"/>
      <c r="I229" s="25"/>
      <c r="J229" s="22"/>
      <c r="K229" s="25"/>
      <c r="L229" s="22"/>
      <c r="M229" s="25"/>
      <c r="N229" s="19"/>
      <c r="O229" s="19"/>
      <c r="P229" s="16"/>
      <c r="Q229" s="19"/>
      <c r="R229" s="16"/>
      <c r="S229" s="25"/>
      <c r="T229" s="22"/>
      <c r="U229" s="25"/>
      <c r="V229" s="22"/>
      <c r="W229" s="25"/>
    </row>
    <row r="230" spans="1:23" x14ac:dyDescent="0.2">
      <c r="A230" s="6"/>
      <c r="B230" s="19"/>
      <c r="C230" s="16"/>
      <c r="D230" s="19"/>
      <c r="E230" s="16"/>
      <c r="F230" s="19"/>
      <c r="G230" s="16"/>
      <c r="H230" s="22"/>
      <c r="I230" s="25"/>
      <c r="J230" s="22"/>
      <c r="K230" s="25"/>
      <c r="L230" s="22"/>
      <c r="M230" s="25"/>
      <c r="N230" s="19"/>
      <c r="O230" s="19"/>
      <c r="P230" s="16"/>
      <c r="Q230" s="19"/>
      <c r="R230" s="16"/>
      <c r="S230" s="25"/>
      <c r="T230" s="22"/>
      <c r="U230" s="25"/>
      <c r="V230" s="22"/>
      <c r="W230" s="25"/>
    </row>
    <row r="231" spans="1:23" x14ac:dyDescent="0.2">
      <c r="A231" s="6"/>
      <c r="B231" s="19"/>
      <c r="C231" s="16"/>
      <c r="D231" s="19"/>
      <c r="E231" s="16"/>
      <c r="F231" s="19"/>
      <c r="G231" s="16"/>
      <c r="H231" s="22"/>
      <c r="I231" s="25"/>
      <c r="J231" s="22"/>
      <c r="K231" s="25"/>
      <c r="L231" s="22"/>
      <c r="M231" s="25"/>
      <c r="N231" s="19"/>
      <c r="O231" s="19"/>
      <c r="P231" s="16"/>
      <c r="Q231" s="19"/>
      <c r="R231" s="16"/>
      <c r="S231" s="25"/>
      <c r="T231" s="22"/>
      <c r="U231" s="25"/>
      <c r="V231" s="22"/>
      <c r="W231" s="25"/>
    </row>
    <row r="232" spans="1:23" x14ac:dyDescent="0.2">
      <c r="A232" s="6"/>
      <c r="B232" s="19"/>
      <c r="C232" s="16"/>
      <c r="D232" s="19"/>
      <c r="E232" s="16"/>
      <c r="F232" s="19"/>
      <c r="G232" s="16"/>
      <c r="H232" s="22"/>
      <c r="I232" s="25"/>
      <c r="J232" s="22"/>
      <c r="K232" s="25"/>
      <c r="L232" s="22"/>
      <c r="M232" s="25"/>
      <c r="N232" s="19"/>
      <c r="O232" s="19"/>
      <c r="P232" s="16"/>
      <c r="Q232" s="19"/>
      <c r="R232" s="16"/>
      <c r="S232" s="25"/>
      <c r="T232" s="22"/>
      <c r="U232" s="25"/>
      <c r="V232" s="22"/>
      <c r="W232" s="25"/>
    </row>
    <row r="233" spans="1:23" x14ac:dyDescent="0.2">
      <c r="A233" s="6"/>
      <c r="B233" s="19"/>
      <c r="C233" s="16"/>
      <c r="D233" s="19"/>
      <c r="E233" s="16"/>
      <c r="F233" s="19"/>
      <c r="G233" s="16"/>
      <c r="H233" s="22"/>
      <c r="I233" s="25"/>
      <c r="J233" s="22"/>
      <c r="K233" s="25"/>
      <c r="L233" s="22"/>
      <c r="M233" s="25"/>
      <c r="N233" s="19"/>
      <c r="O233" s="19"/>
      <c r="P233" s="16"/>
      <c r="Q233" s="19"/>
      <c r="R233" s="16"/>
      <c r="S233" s="25"/>
      <c r="T233" s="22"/>
      <c r="U233" s="25"/>
      <c r="V233" s="22"/>
      <c r="W233" s="25"/>
    </row>
    <row r="234" spans="1:23" x14ac:dyDescent="0.2">
      <c r="A234" s="6"/>
      <c r="B234" s="19"/>
      <c r="C234" s="16"/>
      <c r="D234" s="19"/>
      <c r="E234" s="16"/>
      <c r="F234" s="19"/>
      <c r="G234" s="16"/>
      <c r="H234" s="22"/>
      <c r="I234" s="25"/>
      <c r="J234" s="22"/>
      <c r="K234" s="25"/>
      <c r="L234" s="22"/>
      <c r="M234" s="25"/>
      <c r="N234" s="19"/>
      <c r="O234" s="19"/>
      <c r="P234" s="16"/>
      <c r="Q234" s="19"/>
      <c r="R234" s="16"/>
      <c r="S234" s="25"/>
      <c r="T234" s="22"/>
      <c r="U234" s="25"/>
      <c r="V234" s="22"/>
      <c r="W234" s="25"/>
    </row>
    <row r="235" spans="1:23" x14ac:dyDescent="0.2">
      <c r="A235" s="6"/>
      <c r="B235" s="19"/>
      <c r="C235" s="16"/>
      <c r="D235" s="19"/>
      <c r="E235" s="16"/>
      <c r="F235" s="19"/>
      <c r="G235" s="16"/>
      <c r="H235" s="22"/>
      <c r="I235" s="25"/>
      <c r="J235" s="22"/>
      <c r="K235" s="25"/>
      <c r="L235" s="22"/>
      <c r="M235" s="25"/>
      <c r="N235" s="19"/>
      <c r="O235" s="19"/>
      <c r="P235" s="16"/>
      <c r="Q235" s="19"/>
      <c r="R235" s="16"/>
      <c r="S235" s="25"/>
      <c r="T235" s="22"/>
      <c r="U235" s="25"/>
      <c r="V235" s="22"/>
      <c r="W235" s="25"/>
    </row>
    <row r="236" spans="1:23" x14ac:dyDescent="0.2">
      <c r="A236" s="6"/>
      <c r="B236" s="19"/>
      <c r="C236" s="16"/>
      <c r="D236" s="19"/>
      <c r="E236" s="16"/>
      <c r="F236" s="19"/>
      <c r="G236" s="16"/>
      <c r="H236" s="22"/>
      <c r="I236" s="25"/>
      <c r="J236" s="22"/>
      <c r="K236" s="25"/>
      <c r="L236" s="22"/>
      <c r="M236" s="25"/>
      <c r="N236" s="19"/>
      <c r="O236" s="19"/>
      <c r="P236" s="16"/>
      <c r="Q236" s="19"/>
      <c r="R236" s="16"/>
      <c r="S236" s="25"/>
      <c r="T236" s="22"/>
      <c r="U236" s="25"/>
      <c r="V236" s="22"/>
      <c r="W236" s="25"/>
    </row>
    <row r="237" spans="1:23" x14ac:dyDescent="0.2">
      <c r="A237" s="6"/>
      <c r="B237" s="19"/>
      <c r="C237" s="16"/>
      <c r="D237" s="19"/>
      <c r="E237" s="16"/>
      <c r="F237" s="19"/>
      <c r="G237" s="16"/>
      <c r="H237" s="22"/>
      <c r="I237" s="25"/>
      <c r="J237" s="22"/>
      <c r="K237" s="25"/>
      <c r="L237" s="22"/>
      <c r="M237" s="25"/>
      <c r="N237" s="19"/>
      <c r="O237" s="19"/>
      <c r="P237" s="16"/>
      <c r="Q237" s="19"/>
      <c r="R237" s="16"/>
      <c r="S237" s="25"/>
      <c r="T237" s="22"/>
      <c r="U237" s="25"/>
      <c r="V237" s="22"/>
      <c r="W237" s="25"/>
    </row>
    <row r="238" spans="1:23" x14ac:dyDescent="0.2">
      <c r="A238" s="6"/>
      <c r="B238" s="19"/>
      <c r="C238" s="16"/>
      <c r="D238" s="19"/>
      <c r="E238" s="16"/>
      <c r="F238" s="19"/>
      <c r="G238" s="16"/>
      <c r="H238" s="22"/>
      <c r="I238" s="25"/>
      <c r="J238" s="22"/>
      <c r="K238" s="25"/>
      <c r="L238" s="22"/>
      <c r="M238" s="25"/>
      <c r="N238" s="19"/>
      <c r="O238" s="19"/>
      <c r="P238" s="16"/>
      <c r="Q238" s="19"/>
      <c r="R238" s="16"/>
      <c r="S238" s="25"/>
      <c r="T238" s="22"/>
      <c r="U238" s="25"/>
      <c r="V238" s="22"/>
      <c r="W238" s="25"/>
    </row>
    <row r="239" spans="1:23" x14ac:dyDescent="0.2">
      <c r="A239" s="6"/>
      <c r="B239" s="19"/>
      <c r="C239" s="16"/>
      <c r="D239" s="19"/>
      <c r="E239" s="16"/>
      <c r="F239" s="19"/>
      <c r="G239" s="16"/>
      <c r="H239" s="22"/>
      <c r="I239" s="25"/>
      <c r="J239" s="22"/>
      <c r="K239" s="25"/>
      <c r="L239" s="22"/>
      <c r="M239" s="25"/>
      <c r="N239" s="19"/>
      <c r="O239" s="19"/>
      <c r="P239" s="16"/>
      <c r="Q239" s="19"/>
      <c r="R239" s="16"/>
      <c r="S239" s="25"/>
      <c r="T239" s="22"/>
      <c r="U239" s="25"/>
      <c r="V239" s="22"/>
      <c r="W239" s="25"/>
    </row>
    <row r="240" spans="1:23" x14ac:dyDescent="0.2">
      <c r="A240" s="6"/>
      <c r="B240" s="19"/>
      <c r="C240" s="16"/>
      <c r="D240" s="19"/>
      <c r="E240" s="16"/>
      <c r="F240" s="19"/>
      <c r="G240" s="16"/>
      <c r="H240" s="22"/>
      <c r="I240" s="25"/>
      <c r="J240" s="22"/>
      <c r="K240" s="25"/>
      <c r="L240" s="22"/>
      <c r="M240" s="25"/>
      <c r="N240" s="19"/>
      <c r="O240" s="19"/>
      <c r="P240" s="16"/>
      <c r="Q240" s="19"/>
      <c r="R240" s="16"/>
      <c r="S240" s="25"/>
      <c r="T240" s="22"/>
      <c r="U240" s="25"/>
      <c r="V240" s="22"/>
      <c r="W240" s="25"/>
    </row>
    <row r="241" spans="1:23" x14ac:dyDescent="0.2">
      <c r="A241" s="6"/>
      <c r="B241" s="19"/>
      <c r="C241" s="16"/>
      <c r="D241" s="19"/>
      <c r="E241" s="16"/>
      <c r="F241" s="19"/>
      <c r="G241" s="16"/>
      <c r="H241" s="22"/>
      <c r="I241" s="25"/>
      <c r="J241" s="22"/>
      <c r="K241" s="25"/>
      <c r="L241" s="22"/>
      <c r="M241" s="25"/>
      <c r="N241" s="19"/>
      <c r="O241" s="19"/>
      <c r="P241" s="16"/>
      <c r="Q241" s="19"/>
      <c r="R241" s="16"/>
      <c r="S241" s="25"/>
      <c r="T241" s="22"/>
      <c r="U241" s="25"/>
      <c r="V241" s="22"/>
      <c r="W241" s="25"/>
    </row>
    <row r="242" spans="1:23" x14ac:dyDescent="0.2">
      <c r="A242" s="6"/>
      <c r="B242" s="19"/>
      <c r="C242" s="16"/>
      <c r="D242" s="19"/>
      <c r="E242" s="16"/>
      <c r="F242" s="19"/>
      <c r="G242" s="16"/>
      <c r="H242" s="22"/>
      <c r="I242" s="25"/>
      <c r="J242" s="22"/>
      <c r="K242" s="25"/>
      <c r="L242" s="22"/>
      <c r="M242" s="25"/>
      <c r="N242" s="19"/>
      <c r="O242" s="19"/>
      <c r="P242" s="16"/>
      <c r="Q242" s="19"/>
      <c r="R242" s="16"/>
      <c r="S242" s="25"/>
      <c r="T242" s="22"/>
      <c r="U242" s="25"/>
      <c r="V242" s="22"/>
      <c r="W242" s="25"/>
    </row>
    <row r="243" spans="1:23" x14ac:dyDescent="0.2">
      <c r="A243" s="6"/>
      <c r="B243" s="19"/>
      <c r="C243" s="16"/>
      <c r="D243" s="19"/>
      <c r="E243" s="16"/>
      <c r="F243" s="19"/>
      <c r="G243" s="16"/>
      <c r="H243" s="22"/>
      <c r="I243" s="25"/>
      <c r="J243" s="22"/>
      <c r="K243" s="25"/>
      <c r="L243" s="22"/>
      <c r="M243" s="25"/>
      <c r="N243" s="19"/>
      <c r="O243" s="19"/>
      <c r="P243" s="16"/>
      <c r="Q243" s="19"/>
      <c r="R243" s="16"/>
      <c r="S243" s="25"/>
      <c r="T243" s="22"/>
      <c r="U243" s="25"/>
      <c r="V243" s="22"/>
      <c r="W243" s="25"/>
    </row>
    <row r="244" spans="1:23" x14ac:dyDescent="0.2">
      <c r="A244" s="6"/>
      <c r="B244" s="19"/>
      <c r="C244" s="16"/>
      <c r="D244" s="19"/>
      <c r="E244" s="16"/>
      <c r="F244" s="19"/>
      <c r="G244" s="16"/>
      <c r="H244" s="22"/>
      <c r="I244" s="25"/>
      <c r="J244" s="22"/>
      <c r="K244" s="25"/>
      <c r="L244" s="22"/>
      <c r="M244" s="25"/>
      <c r="N244" s="19"/>
      <c r="O244" s="19"/>
      <c r="P244" s="16"/>
      <c r="Q244" s="19"/>
      <c r="R244" s="16"/>
      <c r="S244" s="25"/>
      <c r="T244" s="22"/>
      <c r="U244" s="25"/>
      <c r="V244" s="22"/>
      <c r="W244" s="25"/>
    </row>
    <row r="245" spans="1:23" x14ac:dyDescent="0.2">
      <c r="A245" s="6"/>
      <c r="B245" s="19"/>
      <c r="C245" s="16"/>
      <c r="D245" s="19"/>
      <c r="E245" s="16"/>
      <c r="F245" s="19"/>
      <c r="G245" s="16"/>
      <c r="H245" s="22"/>
      <c r="I245" s="25"/>
      <c r="J245" s="22"/>
      <c r="K245" s="25"/>
      <c r="L245" s="22"/>
      <c r="M245" s="25"/>
      <c r="N245" s="19"/>
      <c r="O245" s="19"/>
      <c r="P245" s="16"/>
      <c r="Q245" s="19"/>
      <c r="R245" s="16"/>
      <c r="S245" s="25"/>
      <c r="T245" s="22"/>
      <c r="U245" s="25"/>
      <c r="V245" s="22"/>
      <c r="W245" s="25"/>
    </row>
    <row r="246" spans="1:23" x14ac:dyDescent="0.2">
      <c r="A246" s="6"/>
      <c r="B246" s="19"/>
      <c r="C246" s="16"/>
      <c r="D246" s="19"/>
      <c r="E246" s="16"/>
      <c r="F246" s="19"/>
      <c r="G246" s="16"/>
      <c r="H246" s="22"/>
      <c r="I246" s="25"/>
      <c r="J246" s="22"/>
      <c r="K246" s="25"/>
      <c r="L246" s="22"/>
      <c r="M246" s="25"/>
      <c r="N246" s="19"/>
      <c r="O246" s="19"/>
      <c r="P246" s="16"/>
      <c r="Q246" s="19"/>
      <c r="R246" s="16"/>
      <c r="S246" s="25"/>
      <c r="T246" s="22"/>
      <c r="U246" s="25"/>
      <c r="V246" s="22"/>
      <c r="W246" s="25"/>
    </row>
    <row r="247" spans="1:23" x14ac:dyDescent="0.2">
      <c r="A247" s="6"/>
      <c r="B247" s="19"/>
      <c r="C247" s="16"/>
      <c r="D247" s="19"/>
      <c r="E247" s="16"/>
      <c r="F247" s="19"/>
      <c r="G247" s="16"/>
      <c r="H247" s="22"/>
      <c r="I247" s="25"/>
      <c r="J247" s="22"/>
      <c r="K247" s="25"/>
      <c r="L247" s="22"/>
      <c r="M247" s="25"/>
      <c r="N247" s="19"/>
      <c r="O247" s="19"/>
      <c r="P247" s="16"/>
      <c r="Q247" s="19"/>
      <c r="R247" s="16"/>
      <c r="S247" s="25"/>
      <c r="T247" s="22"/>
      <c r="U247" s="25"/>
      <c r="V247" s="22"/>
      <c r="W247" s="25"/>
    </row>
    <row r="248" spans="1:23" x14ac:dyDescent="0.2">
      <c r="A248" s="6"/>
      <c r="B248" s="19"/>
      <c r="C248" s="16"/>
      <c r="D248" s="19"/>
      <c r="E248" s="16"/>
      <c r="F248" s="19"/>
      <c r="G248" s="16"/>
      <c r="H248" s="22"/>
      <c r="I248" s="25"/>
      <c r="J248" s="22"/>
      <c r="K248" s="25"/>
      <c r="L248" s="22"/>
      <c r="M248" s="25"/>
      <c r="N248" s="19"/>
      <c r="O248" s="19"/>
      <c r="P248" s="16"/>
      <c r="Q248" s="19"/>
      <c r="R248" s="16"/>
      <c r="S248" s="25"/>
      <c r="T248" s="22"/>
      <c r="U248" s="25"/>
      <c r="V248" s="22"/>
      <c r="W248" s="25"/>
    </row>
    <row r="249" spans="1:23" x14ac:dyDescent="0.2">
      <c r="A249" s="6"/>
      <c r="B249" s="19"/>
      <c r="C249" s="16"/>
      <c r="D249" s="19"/>
      <c r="E249" s="16"/>
      <c r="F249" s="19"/>
      <c r="G249" s="16"/>
      <c r="H249" s="22"/>
      <c r="I249" s="25"/>
      <c r="J249" s="22"/>
      <c r="K249" s="25"/>
      <c r="L249" s="22"/>
      <c r="M249" s="25"/>
      <c r="N249" s="19"/>
      <c r="O249" s="19"/>
      <c r="P249" s="16"/>
      <c r="Q249" s="19"/>
      <c r="R249" s="16"/>
      <c r="S249" s="25"/>
      <c r="T249" s="22"/>
      <c r="U249" s="25"/>
      <c r="V249" s="22"/>
      <c r="W249" s="25"/>
    </row>
    <row r="250" spans="1:23" x14ac:dyDescent="0.2">
      <c r="A250" s="6"/>
      <c r="B250" s="19"/>
      <c r="C250" s="16"/>
      <c r="D250" s="19"/>
      <c r="E250" s="16"/>
      <c r="F250" s="19"/>
      <c r="G250" s="16"/>
      <c r="H250" s="22"/>
      <c r="I250" s="25"/>
      <c r="J250" s="22"/>
      <c r="K250" s="25"/>
      <c r="L250" s="22"/>
      <c r="M250" s="25"/>
      <c r="N250" s="19"/>
      <c r="O250" s="19"/>
      <c r="P250" s="16"/>
      <c r="Q250" s="19"/>
      <c r="R250" s="16"/>
      <c r="S250" s="25"/>
      <c r="T250" s="22"/>
      <c r="U250" s="25"/>
      <c r="V250" s="22"/>
      <c r="W250" s="25"/>
    </row>
    <row r="251" spans="1:23" x14ac:dyDescent="0.2">
      <c r="A251" s="6"/>
      <c r="B251" s="19"/>
      <c r="C251" s="16"/>
      <c r="D251" s="19"/>
      <c r="E251" s="16"/>
      <c r="F251" s="19"/>
      <c r="G251" s="16"/>
      <c r="H251" s="22"/>
      <c r="I251" s="25"/>
      <c r="J251" s="22"/>
      <c r="K251" s="25"/>
      <c r="L251" s="22"/>
      <c r="M251" s="25"/>
      <c r="N251" s="19"/>
      <c r="O251" s="19"/>
      <c r="P251" s="16"/>
      <c r="Q251" s="19"/>
      <c r="R251" s="16"/>
      <c r="S251" s="25"/>
      <c r="T251" s="22"/>
      <c r="U251" s="25"/>
      <c r="V251" s="22"/>
      <c r="W251" s="25"/>
    </row>
    <row r="252" spans="1:23" x14ac:dyDescent="0.2">
      <c r="A252" s="6"/>
      <c r="B252" s="19"/>
      <c r="C252" s="16"/>
      <c r="D252" s="19"/>
      <c r="E252" s="16"/>
      <c r="F252" s="19"/>
      <c r="G252" s="16"/>
      <c r="H252" s="22"/>
      <c r="I252" s="25"/>
      <c r="J252" s="22"/>
      <c r="K252" s="25"/>
      <c r="L252" s="22"/>
      <c r="M252" s="25"/>
      <c r="N252" s="19"/>
      <c r="O252" s="19"/>
      <c r="P252" s="16"/>
      <c r="Q252" s="19"/>
      <c r="R252" s="16"/>
      <c r="S252" s="25"/>
      <c r="T252" s="22"/>
      <c r="U252" s="25"/>
      <c r="V252" s="22"/>
      <c r="W252" s="25"/>
    </row>
    <row r="253" spans="1:23" x14ac:dyDescent="0.2">
      <c r="A253" s="6"/>
      <c r="B253" s="19"/>
      <c r="C253" s="16"/>
      <c r="D253" s="19"/>
      <c r="E253" s="16"/>
      <c r="F253" s="19"/>
      <c r="G253" s="16"/>
      <c r="H253" s="22"/>
      <c r="I253" s="25"/>
      <c r="J253" s="22"/>
      <c r="K253" s="25"/>
      <c r="L253" s="22"/>
      <c r="M253" s="25"/>
      <c r="N253" s="19"/>
      <c r="O253" s="19"/>
      <c r="P253" s="16"/>
      <c r="Q253" s="19"/>
      <c r="R253" s="16"/>
      <c r="S253" s="25"/>
      <c r="T253" s="22"/>
      <c r="U253" s="25"/>
      <c r="V253" s="22"/>
      <c r="W253" s="25"/>
    </row>
    <row r="254" spans="1:23" x14ac:dyDescent="0.2">
      <c r="A254" s="6"/>
      <c r="B254" s="19"/>
      <c r="C254" s="16"/>
      <c r="D254" s="19"/>
      <c r="E254" s="16"/>
      <c r="F254" s="19"/>
      <c r="G254" s="16"/>
      <c r="H254" s="22"/>
      <c r="I254" s="25"/>
      <c r="J254" s="22"/>
      <c r="K254" s="25"/>
      <c r="L254" s="22"/>
      <c r="M254" s="25"/>
      <c r="N254" s="19"/>
      <c r="O254" s="19"/>
      <c r="P254" s="16"/>
      <c r="Q254" s="19"/>
      <c r="R254" s="16"/>
      <c r="S254" s="25"/>
      <c r="T254" s="22"/>
      <c r="U254" s="25"/>
      <c r="V254" s="22"/>
      <c r="W254" s="25"/>
    </row>
    <row r="255" spans="1:23" x14ac:dyDescent="0.2">
      <c r="A255" s="6"/>
      <c r="B255" s="19"/>
      <c r="C255" s="16"/>
      <c r="D255" s="19"/>
      <c r="E255" s="16"/>
      <c r="F255" s="19"/>
      <c r="G255" s="16"/>
      <c r="H255" s="22"/>
      <c r="I255" s="25"/>
      <c r="J255" s="22"/>
      <c r="K255" s="25"/>
      <c r="L255" s="22"/>
      <c r="M255" s="25"/>
      <c r="N255" s="19"/>
      <c r="O255" s="19"/>
      <c r="P255" s="16"/>
      <c r="Q255" s="19"/>
      <c r="R255" s="16"/>
      <c r="S255" s="25"/>
      <c r="T255" s="22"/>
      <c r="U255" s="25"/>
      <c r="V255" s="22"/>
      <c r="W255" s="25"/>
    </row>
    <row r="256" spans="1:23" x14ac:dyDescent="0.2">
      <c r="A256" s="6"/>
      <c r="B256" s="19"/>
      <c r="C256" s="16"/>
      <c r="D256" s="19"/>
      <c r="E256" s="16"/>
      <c r="F256" s="19"/>
      <c r="G256" s="16"/>
      <c r="H256" s="22"/>
      <c r="I256" s="25"/>
      <c r="J256" s="22"/>
      <c r="K256" s="25"/>
      <c r="L256" s="22"/>
      <c r="M256" s="25"/>
      <c r="N256" s="19"/>
      <c r="O256" s="19"/>
      <c r="P256" s="16"/>
      <c r="Q256" s="19"/>
      <c r="R256" s="16"/>
      <c r="S256" s="25"/>
      <c r="T256" s="22"/>
      <c r="U256" s="25"/>
      <c r="V256" s="22"/>
      <c r="W256" s="25"/>
    </row>
    <row r="257" spans="1:23" x14ac:dyDescent="0.2">
      <c r="A257" s="6"/>
      <c r="B257" s="19"/>
      <c r="C257" s="16"/>
      <c r="D257" s="19"/>
      <c r="E257" s="16"/>
      <c r="F257" s="19"/>
      <c r="G257" s="16"/>
      <c r="H257" s="22"/>
      <c r="I257" s="25"/>
      <c r="J257" s="22"/>
      <c r="K257" s="25"/>
      <c r="L257" s="22"/>
      <c r="M257" s="25"/>
      <c r="N257" s="19"/>
      <c r="O257" s="19"/>
      <c r="P257" s="16"/>
      <c r="Q257" s="19"/>
      <c r="R257" s="16"/>
      <c r="S257" s="25"/>
      <c r="T257" s="22"/>
      <c r="U257" s="25"/>
      <c r="V257" s="22"/>
      <c r="W257" s="25"/>
    </row>
    <row r="258" spans="1:23" x14ac:dyDescent="0.2">
      <c r="A258" s="6"/>
      <c r="B258" s="19"/>
      <c r="C258" s="16"/>
      <c r="D258" s="19"/>
      <c r="E258" s="16"/>
      <c r="F258" s="19"/>
      <c r="G258" s="16"/>
      <c r="H258" s="22"/>
      <c r="I258" s="25"/>
      <c r="J258" s="22"/>
      <c r="K258" s="25"/>
      <c r="L258" s="22"/>
      <c r="M258" s="25"/>
      <c r="N258" s="19"/>
      <c r="O258" s="19"/>
      <c r="P258" s="16"/>
      <c r="Q258" s="19"/>
      <c r="R258" s="16"/>
      <c r="S258" s="25"/>
      <c r="T258" s="22"/>
      <c r="U258" s="25"/>
      <c r="V258" s="22"/>
      <c r="W258" s="25"/>
    </row>
    <row r="259" spans="1:23" x14ac:dyDescent="0.2">
      <c r="A259" s="6"/>
      <c r="B259" s="19"/>
      <c r="C259" s="16"/>
      <c r="D259" s="19"/>
      <c r="E259" s="16"/>
      <c r="F259" s="19"/>
      <c r="G259" s="16"/>
      <c r="H259" s="22"/>
      <c r="I259" s="25"/>
      <c r="J259" s="22"/>
      <c r="K259" s="25"/>
      <c r="L259" s="22"/>
      <c r="M259" s="25"/>
      <c r="N259" s="19"/>
      <c r="O259" s="19"/>
      <c r="P259" s="16"/>
      <c r="Q259" s="19"/>
      <c r="R259" s="16"/>
      <c r="S259" s="25"/>
      <c r="T259" s="22"/>
      <c r="U259" s="25"/>
      <c r="V259" s="22"/>
      <c r="W259" s="25"/>
    </row>
    <row r="260" spans="1:23" x14ac:dyDescent="0.2">
      <c r="A260" s="6"/>
      <c r="B260" s="19"/>
      <c r="C260" s="16"/>
      <c r="D260" s="19"/>
      <c r="E260" s="16"/>
      <c r="F260" s="19"/>
      <c r="G260" s="16"/>
      <c r="H260" s="22"/>
      <c r="I260" s="25"/>
      <c r="J260" s="22"/>
      <c r="K260" s="25"/>
      <c r="L260" s="22"/>
      <c r="M260" s="25"/>
      <c r="N260" s="19"/>
      <c r="O260" s="19"/>
      <c r="P260" s="16"/>
      <c r="Q260" s="19"/>
      <c r="R260" s="16"/>
      <c r="S260" s="25"/>
      <c r="T260" s="22"/>
      <c r="U260" s="25"/>
      <c r="V260" s="22"/>
      <c r="W260" s="25"/>
    </row>
    <row r="261" spans="1:23" x14ac:dyDescent="0.2">
      <c r="A261" s="6"/>
      <c r="B261" s="19"/>
      <c r="C261" s="16"/>
      <c r="D261" s="19"/>
      <c r="E261" s="16"/>
      <c r="F261" s="19"/>
      <c r="G261" s="16"/>
      <c r="H261" s="22"/>
      <c r="I261" s="25"/>
      <c r="J261" s="22"/>
      <c r="K261" s="25"/>
      <c r="L261" s="22"/>
      <c r="M261" s="25"/>
      <c r="N261" s="19"/>
      <c r="O261" s="19"/>
      <c r="P261" s="16"/>
      <c r="Q261" s="19"/>
      <c r="R261" s="16"/>
      <c r="S261" s="25"/>
      <c r="T261" s="22"/>
      <c r="U261" s="25"/>
      <c r="V261" s="22"/>
      <c r="W261" s="25"/>
    </row>
    <row r="262" spans="1:23" x14ac:dyDescent="0.2">
      <c r="A262" s="6"/>
      <c r="B262" s="19"/>
      <c r="C262" s="16"/>
      <c r="D262" s="19"/>
      <c r="E262" s="16"/>
      <c r="F262" s="19"/>
      <c r="G262" s="16"/>
      <c r="H262" s="22"/>
      <c r="I262" s="25"/>
      <c r="J262" s="22"/>
      <c r="K262" s="25"/>
      <c r="L262" s="22"/>
      <c r="M262" s="25"/>
      <c r="N262" s="19"/>
      <c r="O262" s="19"/>
      <c r="P262" s="16"/>
      <c r="Q262" s="19"/>
      <c r="R262" s="16"/>
      <c r="S262" s="25"/>
      <c r="T262" s="22"/>
      <c r="U262" s="25"/>
      <c r="V262" s="22"/>
      <c r="W262" s="25"/>
    </row>
    <row r="263" spans="1:23" x14ac:dyDescent="0.2">
      <c r="A263" s="6"/>
      <c r="B263" s="19"/>
      <c r="C263" s="16"/>
      <c r="D263" s="19"/>
      <c r="E263" s="16"/>
      <c r="F263" s="19"/>
      <c r="G263" s="16"/>
      <c r="H263" s="22"/>
      <c r="I263" s="25"/>
      <c r="J263" s="22"/>
      <c r="K263" s="25"/>
      <c r="L263" s="22"/>
      <c r="M263" s="25"/>
      <c r="N263" s="19"/>
      <c r="O263" s="19"/>
      <c r="P263" s="16"/>
      <c r="Q263" s="19"/>
      <c r="R263" s="16"/>
      <c r="S263" s="25"/>
      <c r="T263" s="22"/>
      <c r="U263" s="25"/>
      <c r="V263" s="22"/>
      <c r="W263" s="25"/>
    </row>
    <row r="264" spans="1:23" x14ac:dyDescent="0.2">
      <c r="A264" s="6"/>
      <c r="B264" s="19"/>
      <c r="C264" s="16"/>
      <c r="D264" s="19"/>
      <c r="E264" s="16"/>
      <c r="F264" s="19"/>
      <c r="G264" s="16"/>
      <c r="H264" s="22"/>
      <c r="I264" s="25"/>
      <c r="J264" s="22"/>
      <c r="K264" s="25"/>
      <c r="L264" s="22"/>
      <c r="M264" s="25"/>
      <c r="N264" s="19"/>
      <c r="O264" s="19"/>
      <c r="P264" s="16"/>
      <c r="Q264" s="19"/>
      <c r="R264" s="16"/>
      <c r="S264" s="25"/>
      <c r="T264" s="22"/>
      <c r="U264" s="25"/>
      <c r="V264" s="22"/>
      <c r="W264" s="25"/>
    </row>
    <row r="265" spans="1:23" x14ac:dyDescent="0.2">
      <c r="A265" s="6"/>
      <c r="B265" s="19"/>
      <c r="C265" s="16"/>
      <c r="D265" s="19"/>
      <c r="E265" s="16"/>
      <c r="F265" s="19"/>
      <c r="G265" s="16"/>
      <c r="H265" s="22"/>
      <c r="I265" s="25"/>
      <c r="J265" s="22"/>
      <c r="K265" s="25"/>
      <c r="L265" s="22"/>
      <c r="M265" s="25"/>
      <c r="N265" s="19"/>
      <c r="O265" s="19"/>
      <c r="P265" s="16"/>
      <c r="Q265" s="19"/>
      <c r="R265" s="16"/>
      <c r="S265" s="25"/>
      <c r="T265" s="22"/>
      <c r="U265" s="25"/>
      <c r="V265" s="22"/>
      <c r="W265" s="25"/>
    </row>
    <row r="266" spans="1:23" x14ac:dyDescent="0.2">
      <c r="A266" s="6"/>
      <c r="B266" s="19"/>
      <c r="C266" s="16"/>
      <c r="D266" s="19"/>
      <c r="E266" s="16"/>
      <c r="F266" s="19"/>
      <c r="G266" s="16"/>
      <c r="H266" s="22"/>
      <c r="I266" s="25"/>
      <c r="J266" s="22"/>
      <c r="K266" s="25"/>
      <c r="L266" s="22"/>
      <c r="M266" s="25"/>
      <c r="N266" s="19"/>
      <c r="O266" s="19"/>
      <c r="P266" s="16"/>
      <c r="Q266" s="19"/>
      <c r="R266" s="16"/>
      <c r="S266" s="25"/>
      <c r="T266" s="22"/>
      <c r="U266" s="25"/>
      <c r="V266" s="22"/>
      <c r="W266" s="25"/>
    </row>
    <row r="267" spans="1:23" x14ac:dyDescent="0.2">
      <c r="A267" s="6"/>
      <c r="B267" s="19"/>
      <c r="C267" s="16"/>
      <c r="D267" s="19"/>
      <c r="E267" s="16"/>
      <c r="F267" s="19"/>
      <c r="G267" s="16"/>
      <c r="H267" s="22"/>
      <c r="I267" s="25"/>
      <c r="J267" s="22"/>
      <c r="K267" s="25"/>
      <c r="L267" s="22"/>
      <c r="M267" s="25"/>
      <c r="N267" s="19"/>
      <c r="O267" s="19"/>
      <c r="P267" s="16"/>
      <c r="Q267" s="19"/>
      <c r="R267" s="16"/>
      <c r="S267" s="25"/>
      <c r="T267" s="22"/>
      <c r="U267" s="25"/>
      <c r="V267" s="22"/>
      <c r="W267" s="25"/>
    </row>
    <row r="268" spans="1:23" x14ac:dyDescent="0.2">
      <c r="A268" s="6"/>
      <c r="B268" s="19"/>
      <c r="C268" s="16"/>
      <c r="D268" s="19"/>
      <c r="E268" s="16"/>
      <c r="F268" s="19"/>
      <c r="G268" s="16"/>
      <c r="H268" s="22"/>
      <c r="I268" s="25"/>
      <c r="J268" s="22"/>
      <c r="K268" s="25"/>
      <c r="L268" s="22"/>
      <c r="M268" s="25"/>
      <c r="N268" s="19"/>
      <c r="O268" s="19"/>
      <c r="P268" s="16"/>
      <c r="Q268" s="19"/>
      <c r="R268" s="16"/>
      <c r="S268" s="25"/>
      <c r="T268" s="22"/>
      <c r="U268" s="25"/>
      <c r="V268" s="22"/>
      <c r="W268" s="25"/>
    </row>
    <row r="269" spans="1:23" x14ac:dyDescent="0.2">
      <c r="A269" s="6"/>
      <c r="B269" s="19"/>
      <c r="C269" s="16"/>
      <c r="D269" s="19"/>
      <c r="E269" s="16"/>
      <c r="F269" s="19"/>
      <c r="G269" s="16"/>
      <c r="H269" s="22"/>
      <c r="I269" s="25"/>
      <c r="J269" s="22"/>
      <c r="K269" s="25"/>
      <c r="L269" s="22"/>
      <c r="M269" s="25"/>
      <c r="N269" s="19"/>
      <c r="O269" s="19"/>
      <c r="P269" s="16"/>
      <c r="Q269" s="19"/>
      <c r="R269" s="16"/>
      <c r="S269" s="25"/>
      <c r="T269" s="22"/>
      <c r="U269" s="25"/>
      <c r="V269" s="22"/>
      <c r="W269" s="25"/>
    </row>
    <row r="270" spans="1:23" x14ac:dyDescent="0.2">
      <c r="A270" s="6"/>
      <c r="B270" s="19"/>
      <c r="C270" s="16"/>
      <c r="D270" s="19"/>
      <c r="E270" s="16"/>
      <c r="F270" s="19"/>
      <c r="G270" s="16"/>
      <c r="H270" s="22"/>
      <c r="I270" s="25"/>
      <c r="J270" s="22"/>
      <c r="K270" s="25"/>
      <c r="L270" s="22"/>
      <c r="M270" s="25"/>
      <c r="N270" s="19"/>
      <c r="O270" s="19"/>
      <c r="P270" s="16"/>
      <c r="Q270" s="19"/>
      <c r="R270" s="16"/>
      <c r="S270" s="25"/>
      <c r="T270" s="22"/>
      <c r="U270" s="25"/>
      <c r="V270" s="22"/>
      <c r="W270" s="25"/>
    </row>
    <row r="271" spans="1:23" x14ac:dyDescent="0.2">
      <c r="A271" s="6"/>
      <c r="B271" s="19"/>
      <c r="C271" s="16"/>
      <c r="D271" s="19"/>
      <c r="E271" s="16"/>
      <c r="F271" s="19"/>
      <c r="G271" s="16"/>
      <c r="H271" s="22"/>
      <c r="I271" s="25"/>
      <c r="J271" s="22"/>
      <c r="K271" s="25"/>
      <c r="L271" s="22"/>
      <c r="M271" s="25"/>
      <c r="N271" s="19"/>
      <c r="O271" s="19"/>
      <c r="P271" s="16"/>
      <c r="Q271" s="19"/>
      <c r="R271" s="16"/>
      <c r="S271" s="25"/>
      <c r="T271" s="22"/>
      <c r="U271" s="25"/>
      <c r="V271" s="22"/>
      <c r="W271" s="25"/>
    </row>
    <row r="272" spans="1:23" x14ac:dyDescent="0.2">
      <c r="A272" s="6"/>
      <c r="B272" s="19"/>
      <c r="C272" s="16"/>
      <c r="D272" s="19"/>
      <c r="E272" s="16"/>
      <c r="F272" s="19"/>
      <c r="G272" s="16"/>
      <c r="H272" s="22"/>
      <c r="I272" s="25"/>
      <c r="J272" s="22"/>
      <c r="K272" s="25"/>
      <c r="L272" s="22"/>
      <c r="M272" s="25"/>
      <c r="N272" s="19"/>
      <c r="O272" s="19"/>
      <c r="P272" s="16"/>
      <c r="Q272" s="19"/>
      <c r="R272" s="16"/>
      <c r="S272" s="25"/>
      <c r="T272" s="22"/>
      <c r="U272" s="25"/>
      <c r="V272" s="22"/>
      <c r="W272" s="25"/>
    </row>
    <row r="273" spans="1:23" x14ac:dyDescent="0.2">
      <c r="A273" s="6"/>
      <c r="B273" s="19"/>
      <c r="C273" s="16"/>
      <c r="D273" s="19"/>
      <c r="E273" s="16"/>
      <c r="F273" s="19"/>
      <c r="G273" s="16"/>
      <c r="H273" s="22"/>
      <c r="I273" s="25"/>
      <c r="J273" s="22"/>
      <c r="K273" s="25"/>
      <c r="L273" s="22"/>
      <c r="M273" s="25"/>
      <c r="N273" s="19"/>
      <c r="O273" s="19"/>
      <c r="P273" s="16"/>
      <c r="Q273" s="19"/>
      <c r="R273" s="16"/>
      <c r="S273" s="25"/>
      <c r="T273" s="22"/>
      <c r="U273" s="25"/>
      <c r="V273" s="22"/>
      <c r="W273" s="25"/>
    </row>
    <row r="274" spans="1:23" x14ac:dyDescent="0.2">
      <c r="A274" s="6"/>
      <c r="B274" s="19"/>
      <c r="C274" s="16"/>
      <c r="D274" s="19"/>
      <c r="E274" s="16"/>
      <c r="F274" s="19"/>
      <c r="G274" s="16"/>
      <c r="H274" s="22"/>
      <c r="I274" s="25"/>
      <c r="J274" s="22"/>
      <c r="K274" s="25"/>
      <c r="L274" s="22"/>
      <c r="M274" s="25"/>
      <c r="N274" s="19"/>
      <c r="O274" s="19"/>
      <c r="P274" s="16"/>
      <c r="Q274" s="19"/>
      <c r="R274" s="16"/>
      <c r="S274" s="25"/>
      <c r="T274" s="22"/>
      <c r="U274" s="25"/>
      <c r="V274" s="22"/>
      <c r="W274" s="25"/>
    </row>
    <row r="275" spans="1:23" x14ac:dyDescent="0.2">
      <c r="A275" s="6"/>
      <c r="B275" s="19"/>
      <c r="C275" s="16"/>
      <c r="D275" s="19"/>
      <c r="E275" s="16"/>
      <c r="F275" s="19"/>
      <c r="G275" s="16"/>
      <c r="H275" s="22"/>
      <c r="I275" s="25"/>
      <c r="J275" s="22"/>
      <c r="K275" s="25"/>
      <c r="L275" s="22"/>
      <c r="M275" s="25"/>
      <c r="N275" s="19"/>
      <c r="O275" s="19"/>
      <c r="P275" s="16"/>
      <c r="Q275" s="19"/>
      <c r="R275" s="16"/>
      <c r="S275" s="25"/>
      <c r="T275" s="22"/>
      <c r="U275" s="25"/>
      <c r="V275" s="22"/>
      <c r="W275" s="25"/>
    </row>
    <row r="276" spans="1:23" x14ac:dyDescent="0.2">
      <c r="A276" s="6"/>
      <c r="B276" s="19"/>
      <c r="C276" s="16"/>
      <c r="D276" s="19"/>
      <c r="E276" s="16"/>
      <c r="F276" s="19"/>
      <c r="G276" s="16"/>
      <c r="H276" s="22"/>
      <c r="I276" s="25"/>
      <c r="J276" s="22"/>
      <c r="K276" s="25"/>
      <c r="L276" s="22"/>
      <c r="M276" s="25"/>
      <c r="N276" s="19"/>
      <c r="O276" s="19"/>
      <c r="P276" s="16"/>
      <c r="Q276" s="19"/>
      <c r="R276" s="16"/>
      <c r="S276" s="25"/>
      <c r="T276" s="22"/>
      <c r="U276" s="25"/>
      <c r="V276" s="22"/>
      <c r="W276" s="25"/>
    </row>
    <row r="277" spans="1:23" x14ac:dyDescent="0.2">
      <c r="A277" s="6"/>
      <c r="B277" s="19"/>
      <c r="C277" s="16"/>
      <c r="D277" s="19"/>
      <c r="E277" s="16"/>
      <c r="F277" s="19"/>
      <c r="G277" s="16"/>
      <c r="H277" s="22"/>
      <c r="I277" s="25"/>
      <c r="J277" s="22"/>
      <c r="K277" s="25"/>
      <c r="L277" s="22"/>
      <c r="M277" s="25"/>
      <c r="N277" s="19"/>
      <c r="O277" s="19"/>
      <c r="P277" s="16"/>
      <c r="Q277" s="19"/>
      <c r="R277" s="16"/>
      <c r="S277" s="25"/>
      <c r="T277" s="22"/>
      <c r="U277" s="25"/>
      <c r="V277" s="22"/>
      <c r="W277" s="25"/>
    </row>
    <row r="278" spans="1:23" x14ac:dyDescent="0.2">
      <c r="A278" s="6"/>
      <c r="B278" s="19"/>
      <c r="C278" s="16"/>
      <c r="D278" s="19"/>
      <c r="E278" s="16"/>
      <c r="F278" s="19"/>
      <c r="G278" s="16"/>
      <c r="H278" s="22"/>
      <c r="I278" s="25"/>
      <c r="J278" s="22"/>
      <c r="K278" s="25"/>
      <c r="L278" s="22"/>
      <c r="M278" s="25"/>
      <c r="N278" s="19"/>
      <c r="O278" s="19"/>
      <c r="P278" s="16"/>
      <c r="Q278" s="19"/>
      <c r="R278" s="16"/>
      <c r="S278" s="25"/>
      <c r="T278" s="22"/>
      <c r="U278" s="25"/>
      <c r="V278" s="22"/>
      <c r="W278" s="25"/>
    </row>
    <row r="279" spans="1:23" x14ac:dyDescent="0.2">
      <c r="A279" s="6"/>
      <c r="B279" s="19"/>
      <c r="C279" s="16"/>
      <c r="D279" s="19"/>
      <c r="E279" s="16"/>
      <c r="F279" s="19"/>
      <c r="G279" s="16"/>
      <c r="H279" s="22"/>
      <c r="I279" s="25"/>
      <c r="J279" s="22"/>
      <c r="K279" s="25"/>
      <c r="L279" s="22"/>
      <c r="M279" s="25"/>
      <c r="N279" s="19"/>
      <c r="O279" s="19"/>
      <c r="P279" s="16"/>
      <c r="Q279" s="19"/>
      <c r="R279" s="16"/>
      <c r="S279" s="25"/>
      <c r="T279" s="22"/>
      <c r="U279" s="25"/>
      <c r="V279" s="22"/>
      <c r="W279" s="25"/>
    </row>
    <row r="280" spans="1:23" x14ac:dyDescent="0.2">
      <c r="A280" s="6"/>
      <c r="B280" s="19"/>
      <c r="C280" s="16"/>
      <c r="D280" s="19"/>
      <c r="E280" s="16"/>
      <c r="F280" s="19"/>
      <c r="G280" s="16"/>
      <c r="H280" s="22"/>
      <c r="I280" s="25"/>
      <c r="J280" s="22"/>
      <c r="K280" s="25"/>
      <c r="L280" s="22"/>
      <c r="M280" s="25"/>
      <c r="N280" s="19"/>
      <c r="O280" s="19"/>
      <c r="P280" s="16"/>
      <c r="Q280" s="19"/>
      <c r="R280" s="16"/>
      <c r="S280" s="25"/>
      <c r="T280" s="22"/>
      <c r="U280" s="25"/>
      <c r="V280" s="22"/>
      <c r="W280" s="25"/>
    </row>
    <row r="281" spans="1:23" x14ac:dyDescent="0.2">
      <c r="A281" s="6"/>
      <c r="B281" s="19"/>
      <c r="C281" s="16"/>
      <c r="D281" s="19"/>
      <c r="E281" s="16"/>
      <c r="F281" s="19"/>
      <c r="G281" s="16"/>
      <c r="H281" s="22"/>
      <c r="I281" s="25"/>
      <c r="J281" s="22"/>
      <c r="K281" s="25"/>
      <c r="L281" s="22"/>
      <c r="M281" s="25"/>
      <c r="N281" s="19"/>
      <c r="O281" s="19"/>
      <c r="P281" s="16"/>
      <c r="Q281" s="19"/>
      <c r="R281" s="16"/>
      <c r="S281" s="25"/>
      <c r="T281" s="22"/>
      <c r="U281" s="25"/>
      <c r="V281" s="22"/>
      <c r="W281" s="25"/>
    </row>
    <row r="282" spans="1:23" x14ac:dyDescent="0.2">
      <c r="A282" s="6"/>
      <c r="B282" s="19"/>
      <c r="C282" s="16"/>
      <c r="D282" s="19"/>
      <c r="E282" s="16"/>
      <c r="F282" s="19"/>
      <c r="G282" s="16"/>
      <c r="H282" s="22"/>
      <c r="I282" s="25"/>
      <c r="J282" s="22"/>
      <c r="K282" s="25"/>
      <c r="L282" s="22"/>
      <c r="M282" s="25"/>
      <c r="N282" s="19"/>
      <c r="O282" s="19"/>
      <c r="P282" s="16"/>
      <c r="Q282" s="19"/>
      <c r="R282" s="16"/>
      <c r="S282" s="25"/>
      <c r="T282" s="22"/>
      <c r="U282" s="25"/>
      <c r="V282" s="22"/>
      <c r="W282" s="25"/>
    </row>
    <row r="283" spans="1:23" x14ac:dyDescent="0.2">
      <c r="A283" s="6"/>
      <c r="B283" s="19"/>
      <c r="C283" s="16"/>
      <c r="D283" s="19"/>
      <c r="E283" s="16"/>
      <c r="F283" s="19"/>
      <c r="G283" s="16"/>
      <c r="H283" s="22"/>
      <c r="I283" s="25"/>
      <c r="J283" s="22"/>
      <c r="K283" s="25"/>
      <c r="L283" s="22"/>
      <c r="M283" s="25"/>
      <c r="N283" s="19"/>
      <c r="O283" s="19"/>
      <c r="P283" s="16"/>
      <c r="Q283" s="19"/>
      <c r="R283" s="16"/>
      <c r="S283" s="25"/>
      <c r="T283" s="22"/>
      <c r="U283" s="25"/>
      <c r="V283" s="22"/>
      <c r="W283" s="25"/>
    </row>
    <row r="284" spans="1:23" x14ac:dyDescent="0.2">
      <c r="A284" s="6"/>
      <c r="B284" s="19"/>
      <c r="C284" s="16"/>
      <c r="D284" s="19"/>
      <c r="E284" s="16"/>
      <c r="F284" s="19"/>
      <c r="G284" s="16"/>
      <c r="H284" s="22"/>
      <c r="I284" s="25"/>
      <c r="J284" s="22"/>
      <c r="K284" s="25"/>
      <c r="L284" s="22"/>
      <c r="M284" s="25"/>
      <c r="N284" s="19"/>
      <c r="O284" s="19"/>
      <c r="P284" s="16"/>
      <c r="Q284" s="19"/>
      <c r="R284" s="16"/>
      <c r="S284" s="25"/>
      <c r="T284" s="22"/>
      <c r="U284" s="25"/>
      <c r="V284" s="22"/>
      <c r="W284" s="25"/>
    </row>
    <row r="285" spans="1:23" x14ac:dyDescent="0.2">
      <c r="A285" s="6"/>
      <c r="B285" s="19"/>
      <c r="C285" s="16"/>
      <c r="D285" s="19"/>
      <c r="E285" s="16"/>
      <c r="F285" s="19"/>
      <c r="G285" s="16"/>
      <c r="H285" s="22"/>
      <c r="I285" s="25"/>
      <c r="J285" s="22"/>
      <c r="K285" s="25"/>
      <c r="L285" s="22"/>
      <c r="M285" s="25"/>
      <c r="N285" s="19"/>
      <c r="O285" s="19"/>
      <c r="P285" s="16"/>
      <c r="Q285" s="19"/>
      <c r="R285" s="16"/>
      <c r="S285" s="25"/>
      <c r="T285" s="22"/>
      <c r="U285" s="25"/>
      <c r="V285" s="22"/>
      <c r="W285" s="25"/>
    </row>
    <row r="286" spans="1:23" x14ac:dyDescent="0.2">
      <c r="A286" s="6"/>
      <c r="B286" s="19"/>
      <c r="C286" s="16"/>
      <c r="D286" s="19"/>
      <c r="E286" s="16"/>
      <c r="F286" s="19"/>
      <c r="G286" s="16"/>
      <c r="H286" s="22"/>
      <c r="I286" s="25"/>
      <c r="J286" s="22"/>
      <c r="K286" s="25"/>
      <c r="L286" s="22"/>
      <c r="M286" s="25"/>
      <c r="N286" s="19"/>
      <c r="O286" s="19"/>
      <c r="P286" s="16"/>
      <c r="Q286" s="19"/>
      <c r="R286" s="16"/>
      <c r="S286" s="25"/>
      <c r="T286" s="22"/>
      <c r="U286" s="25"/>
      <c r="V286" s="22"/>
      <c r="W286" s="25"/>
    </row>
    <row r="287" spans="1:23" x14ac:dyDescent="0.2">
      <c r="A287" s="6"/>
      <c r="B287" s="19"/>
      <c r="C287" s="16"/>
      <c r="D287" s="19"/>
      <c r="E287" s="16"/>
      <c r="F287" s="19"/>
      <c r="G287" s="16"/>
      <c r="H287" s="22"/>
      <c r="I287" s="25"/>
      <c r="J287" s="22"/>
      <c r="K287" s="25"/>
      <c r="L287" s="22"/>
      <c r="M287" s="25"/>
      <c r="N287" s="19"/>
      <c r="O287" s="19"/>
      <c r="P287" s="16"/>
      <c r="Q287" s="19"/>
      <c r="R287" s="16"/>
      <c r="S287" s="25"/>
      <c r="T287" s="22"/>
      <c r="U287" s="25"/>
      <c r="V287" s="22"/>
      <c r="W287" s="25"/>
    </row>
    <row r="288" spans="1:23" x14ac:dyDescent="0.2">
      <c r="A288" s="6"/>
      <c r="B288" s="19"/>
      <c r="C288" s="16"/>
      <c r="D288" s="19"/>
      <c r="E288" s="16"/>
      <c r="F288" s="19"/>
      <c r="G288" s="16"/>
      <c r="H288" s="22"/>
      <c r="I288" s="25"/>
      <c r="J288" s="22"/>
      <c r="K288" s="25"/>
      <c r="L288" s="22"/>
      <c r="M288" s="25"/>
      <c r="N288" s="19"/>
      <c r="O288" s="19"/>
      <c r="P288" s="16"/>
      <c r="Q288" s="19"/>
      <c r="R288" s="16"/>
      <c r="S288" s="25"/>
      <c r="T288" s="22"/>
      <c r="U288" s="25"/>
      <c r="V288" s="22"/>
      <c r="W288" s="25"/>
    </row>
    <row r="289" spans="1:23" x14ac:dyDescent="0.2">
      <c r="A289" s="6"/>
      <c r="B289" s="19"/>
      <c r="C289" s="16"/>
      <c r="D289" s="19"/>
      <c r="E289" s="16"/>
      <c r="F289" s="19"/>
      <c r="G289" s="16"/>
      <c r="H289" s="22"/>
      <c r="I289" s="25"/>
      <c r="J289" s="22"/>
      <c r="K289" s="25"/>
      <c r="L289" s="22"/>
      <c r="M289" s="25"/>
      <c r="N289" s="19"/>
      <c r="O289" s="19"/>
      <c r="P289" s="16"/>
      <c r="Q289" s="19"/>
      <c r="R289" s="16"/>
      <c r="S289" s="25"/>
      <c r="T289" s="22"/>
      <c r="U289" s="25"/>
      <c r="V289" s="22"/>
      <c r="W289" s="25"/>
    </row>
    <row r="290" spans="1:23" x14ac:dyDescent="0.2">
      <c r="A290" s="6"/>
      <c r="B290" s="19"/>
      <c r="C290" s="16"/>
      <c r="D290" s="19"/>
      <c r="E290" s="16"/>
      <c r="F290" s="19"/>
      <c r="G290" s="16"/>
      <c r="H290" s="22"/>
      <c r="I290" s="25"/>
      <c r="J290" s="22"/>
      <c r="K290" s="25"/>
      <c r="L290" s="22"/>
      <c r="M290" s="25"/>
      <c r="N290" s="19"/>
      <c r="O290" s="19"/>
      <c r="P290" s="16"/>
      <c r="Q290" s="19"/>
      <c r="R290" s="16"/>
      <c r="S290" s="25"/>
      <c r="T290" s="22"/>
      <c r="U290" s="25"/>
      <c r="V290" s="22"/>
      <c r="W290" s="25"/>
    </row>
    <row r="291" spans="1:23" x14ac:dyDescent="0.2">
      <c r="A291" s="6"/>
      <c r="B291" s="19"/>
      <c r="C291" s="16"/>
      <c r="D291" s="19"/>
      <c r="E291" s="16"/>
      <c r="F291" s="19"/>
      <c r="G291" s="16"/>
      <c r="H291" s="22"/>
      <c r="I291" s="25"/>
      <c r="J291" s="22"/>
      <c r="K291" s="25"/>
      <c r="L291" s="22"/>
      <c r="M291" s="25"/>
      <c r="N291" s="19"/>
      <c r="O291" s="19"/>
      <c r="P291" s="16"/>
      <c r="Q291" s="19"/>
      <c r="R291" s="16"/>
      <c r="S291" s="25"/>
      <c r="T291" s="22"/>
      <c r="U291" s="25"/>
      <c r="V291" s="22"/>
      <c r="W291" s="25"/>
    </row>
    <row r="292" spans="1:23" x14ac:dyDescent="0.2">
      <c r="A292" s="6"/>
      <c r="B292" s="19"/>
      <c r="C292" s="16"/>
      <c r="D292" s="19"/>
      <c r="E292" s="16"/>
      <c r="F292" s="19"/>
      <c r="G292" s="16"/>
      <c r="H292" s="22"/>
      <c r="I292" s="25"/>
      <c r="J292" s="22"/>
      <c r="K292" s="25"/>
      <c r="L292" s="22"/>
      <c r="M292" s="25"/>
      <c r="N292" s="19"/>
      <c r="O292" s="19"/>
      <c r="P292" s="16"/>
      <c r="Q292" s="19"/>
      <c r="R292" s="16"/>
      <c r="S292" s="25"/>
      <c r="T292" s="22"/>
      <c r="U292" s="25"/>
      <c r="V292" s="22"/>
      <c r="W292" s="25"/>
    </row>
    <row r="293" spans="1:23" x14ac:dyDescent="0.2">
      <c r="A293" s="6"/>
      <c r="B293" s="19"/>
      <c r="C293" s="16"/>
      <c r="D293" s="19"/>
      <c r="E293" s="16"/>
      <c r="F293" s="19"/>
      <c r="G293" s="16"/>
      <c r="H293" s="22"/>
      <c r="I293" s="25"/>
      <c r="J293" s="22"/>
      <c r="K293" s="25"/>
      <c r="L293" s="22"/>
      <c r="M293" s="25"/>
      <c r="N293" s="19"/>
      <c r="O293" s="19"/>
      <c r="P293" s="16"/>
      <c r="Q293" s="19"/>
      <c r="R293" s="16"/>
      <c r="S293" s="25"/>
      <c r="T293" s="22"/>
      <c r="U293" s="25"/>
      <c r="V293" s="22"/>
      <c r="W293" s="25"/>
    </row>
    <row r="294" spans="1:23" x14ac:dyDescent="0.2">
      <c r="A294" s="6"/>
      <c r="B294" s="19"/>
      <c r="C294" s="16"/>
      <c r="D294" s="19"/>
      <c r="E294" s="16"/>
      <c r="F294" s="19"/>
      <c r="G294" s="16"/>
      <c r="H294" s="22"/>
      <c r="I294" s="25"/>
      <c r="J294" s="22"/>
      <c r="K294" s="25"/>
      <c r="L294" s="22"/>
      <c r="M294" s="25"/>
      <c r="N294" s="19"/>
      <c r="O294" s="19"/>
      <c r="P294" s="16"/>
      <c r="Q294" s="19"/>
      <c r="R294" s="16"/>
      <c r="S294" s="25"/>
      <c r="T294" s="22"/>
      <c r="U294" s="25"/>
      <c r="V294" s="22"/>
      <c r="W294" s="25"/>
    </row>
    <row r="295" spans="1:23" x14ac:dyDescent="0.2">
      <c r="A295" s="6"/>
      <c r="B295" s="19"/>
      <c r="C295" s="16"/>
      <c r="D295" s="19"/>
      <c r="E295" s="16"/>
      <c r="F295" s="19"/>
      <c r="G295" s="16"/>
      <c r="H295" s="22"/>
      <c r="I295" s="25"/>
      <c r="J295" s="22"/>
      <c r="K295" s="25"/>
      <c r="L295" s="22"/>
      <c r="M295" s="25"/>
      <c r="N295" s="19"/>
      <c r="O295" s="19"/>
      <c r="P295" s="16"/>
      <c r="Q295" s="19"/>
      <c r="R295" s="16"/>
      <c r="S295" s="25"/>
      <c r="T295" s="22"/>
      <c r="U295" s="25"/>
      <c r="V295" s="22"/>
      <c r="W295" s="25"/>
    </row>
    <row r="296" spans="1:23" x14ac:dyDescent="0.2">
      <c r="A296" s="6"/>
      <c r="B296" s="19"/>
      <c r="C296" s="16"/>
      <c r="D296" s="19"/>
      <c r="E296" s="16"/>
      <c r="F296" s="19"/>
      <c r="G296" s="16"/>
      <c r="H296" s="22"/>
      <c r="I296" s="25"/>
      <c r="J296" s="22"/>
      <c r="K296" s="25"/>
      <c r="L296" s="22"/>
      <c r="M296" s="25"/>
      <c r="N296" s="19"/>
      <c r="O296" s="19"/>
      <c r="P296" s="16"/>
      <c r="Q296" s="19"/>
      <c r="R296" s="16"/>
      <c r="S296" s="25"/>
      <c r="T296" s="22"/>
      <c r="U296" s="25"/>
      <c r="V296" s="22"/>
      <c r="W296" s="25"/>
    </row>
    <row r="297" spans="1:23" x14ac:dyDescent="0.2">
      <c r="A297" s="6"/>
      <c r="B297" s="19"/>
      <c r="C297" s="16"/>
      <c r="D297" s="19"/>
      <c r="E297" s="16"/>
      <c r="F297" s="19"/>
      <c r="G297" s="16"/>
      <c r="H297" s="22"/>
      <c r="I297" s="25"/>
      <c r="J297" s="22"/>
      <c r="K297" s="25"/>
      <c r="L297" s="22"/>
      <c r="M297" s="25"/>
      <c r="N297" s="19"/>
      <c r="O297" s="19"/>
      <c r="P297" s="16"/>
      <c r="Q297" s="19"/>
      <c r="R297" s="16"/>
      <c r="S297" s="25"/>
      <c r="T297" s="22"/>
      <c r="U297" s="25"/>
      <c r="V297" s="22"/>
      <c r="W297" s="25"/>
    </row>
    <row r="298" spans="1:23" x14ac:dyDescent="0.2">
      <c r="A298" s="6"/>
      <c r="B298" s="19"/>
      <c r="C298" s="16"/>
      <c r="D298" s="19"/>
      <c r="E298" s="16"/>
      <c r="F298" s="19"/>
      <c r="G298" s="16"/>
      <c r="H298" s="22"/>
      <c r="I298" s="25"/>
      <c r="J298" s="22"/>
      <c r="K298" s="25"/>
      <c r="L298" s="22"/>
      <c r="M298" s="25"/>
      <c r="N298" s="19"/>
      <c r="O298" s="19"/>
      <c r="P298" s="16"/>
      <c r="Q298" s="19"/>
      <c r="R298" s="16"/>
      <c r="S298" s="25"/>
      <c r="T298" s="22"/>
      <c r="U298" s="25"/>
      <c r="V298" s="22"/>
      <c r="W298" s="25"/>
    </row>
    <row r="299" spans="1:23" x14ac:dyDescent="0.2">
      <c r="A299" s="6"/>
      <c r="B299" s="19"/>
      <c r="C299" s="16"/>
      <c r="D299" s="19"/>
      <c r="E299" s="16"/>
      <c r="F299" s="19"/>
      <c r="G299" s="16"/>
      <c r="H299" s="22"/>
      <c r="I299" s="25"/>
      <c r="J299" s="22"/>
      <c r="K299" s="25"/>
      <c r="L299" s="22"/>
      <c r="M299" s="25"/>
      <c r="N299" s="19"/>
      <c r="O299" s="19"/>
      <c r="P299" s="16"/>
      <c r="Q299" s="19"/>
      <c r="R299" s="16"/>
      <c r="S299" s="25"/>
      <c r="T299" s="22"/>
      <c r="U299" s="25"/>
      <c r="V299" s="22"/>
      <c r="W299" s="25"/>
    </row>
    <row r="300" spans="1:23" x14ac:dyDescent="0.2">
      <c r="A300" s="6"/>
      <c r="B300" s="19"/>
      <c r="C300" s="16"/>
      <c r="D300" s="19"/>
      <c r="E300" s="16"/>
      <c r="F300" s="19"/>
      <c r="G300" s="16"/>
      <c r="H300" s="22"/>
      <c r="I300" s="25"/>
      <c r="J300" s="22"/>
      <c r="K300" s="25"/>
      <c r="L300" s="22"/>
      <c r="M300" s="25"/>
      <c r="N300" s="19"/>
      <c r="O300" s="19"/>
      <c r="P300" s="16"/>
      <c r="Q300" s="19"/>
      <c r="R300" s="16"/>
      <c r="S300" s="25"/>
      <c r="T300" s="22"/>
      <c r="U300" s="25"/>
      <c r="V300" s="22"/>
      <c r="W300" s="25"/>
    </row>
    <row r="301" spans="1:23" x14ac:dyDescent="0.2">
      <c r="A301" s="6"/>
      <c r="B301" s="19"/>
      <c r="C301" s="16"/>
      <c r="D301" s="19"/>
      <c r="E301" s="16"/>
      <c r="F301" s="19"/>
      <c r="G301" s="16"/>
      <c r="H301" s="22"/>
      <c r="I301" s="25"/>
      <c r="J301" s="22"/>
      <c r="K301" s="25"/>
      <c r="L301" s="22"/>
      <c r="M301" s="25"/>
      <c r="N301" s="19"/>
      <c r="O301" s="19"/>
      <c r="P301" s="16"/>
      <c r="Q301" s="19"/>
      <c r="R301" s="16"/>
      <c r="S301" s="25"/>
      <c r="T301" s="22"/>
      <c r="U301" s="25"/>
      <c r="V301" s="22"/>
      <c r="W301" s="25"/>
    </row>
    <row r="302" spans="1:23" x14ac:dyDescent="0.2">
      <c r="A302" s="6"/>
      <c r="B302" s="19"/>
      <c r="C302" s="16"/>
      <c r="D302" s="19"/>
      <c r="E302" s="16"/>
      <c r="F302" s="19"/>
      <c r="G302" s="16"/>
      <c r="H302" s="22"/>
      <c r="I302" s="25"/>
      <c r="J302" s="22"/>
      <c r="K302" s="25"/>
      <c r="L302" s="22"/>
      <c r="M302" s="25"/>
      <c r="N302" s="19"/>
      <c r="O302" s="19"/>
      <c r="P302" s="16"/>
      <c r="Q302" s="19"/>
      <c r="R302" s="16"/>
      <c r="S302" s="25"/>
      <c r="T302" s="22"/>
      <c r="U302" s="25"/>
      <c r="V302" s="22"/>
      <c r="W302" s="25"/>
    </row>
    <row r="303" spans="1:23" x14ac:dyDescent="0.2">
      <c r="A303" s="6"/>
      <c r="B303" s="19"/>
      <c r="C303" s="16"/>
      <c r="D303" s="19"/>
      <c r="E303" s="16"/>
      <c r="F303" s="19"/>
      <c r="G303" s="16"/>
      <c r="H303" s="22"/>
      <c r="I303" s="25"/>
      <c r="J303" s="22"/>
      <c r="K303" s="25"/>
      <c r="L303" s="22"/>
      <c r="M303" s="25"/>
      <c r="N303" s="19"/>
      <c r="O303" s="19"/>
      <c r="P303" s="16"/>
      <c r="Q303" s="19"/>
      <c r="R303" s="16"/>
      <c r="S303" s="25"/>
      <c r="T303" s="22"/>
      <c r="U303" s="25"/>
      <c r="V303" s="22"/>
      <c r="W303" s="25"/>
    </row>
    <row r="304" spans="1:23" x14ac:dyDescent="0.2">
      <c r="A304" s="6"/>
      <c r="B304" s="19"/>
      <c r="C304" s="16"/>
      <c r="D304" s="19"/>
      <c r="E304" s="16"/>
      <c r="F304" s="19"/>
      <c r="G304" s="16"/>
      <c r="H304" s="22"/>
      <c r="I304" s="25"/>
      <c r="J304" s="22"/>
      <c r="K304" s="25"/>
      <c r="L304" s="22"/>
      <c r="M304" s="25"/>
      <c r="N304" s="19"/>
      <c r="O304" s="19"/>
      <c r="P304" s="16"/>
      <c r="Q304" s="19"/>
      <c r="R304" s="16"/>
      <c r="S304" s="25"/>
      <c r="T304" s="22"/>
      <c r="U304" s="25"/>
      <c r="V304" s="22"/>
      <c r="W304" s="25"/>
    </row>
    <row r="305" spans="1:23" x14ac:dyDescent="0.2">
      <c r="A305" s="6"/>
      <c r="B305" s="19"/>
      <c r="C305" s="16"/>
      <c r="D305" s="19"/>
      <c r="E305" s="16"/>
      <c r="F305" s="19"/>
      <c r="G305" s="16"/>
      <c r="H305" s="22"/>
      <c r="I305" s="25"/>
      <c r="J305" s="22"/>
      <c r="K305" s="25"/>
      <c r="L305" s="22"/>
      <c r="M305" s="25"/>
      <c r="N305" s="19"/>
      <c r="O305" s="19"/>
      <c r="P305" s="16"/>
      <c r="Q305" s="19"/>
      <c r="R305" s="16"/>
      <c r="S305" s="25"/>
      <c r="T305" s="22"/>
      <c r="U305" s="25"/>
      <c r="V305" s="22"/>
      <c r="W305" s="25"/>
    </row>
    <row r="306" spans="1:23" x14ac:dyDescent="0.2">
      <c r="A306" s="6"/>
      <c r="B306" s="19"/>
      <c r="C306" s="16"/>
      <c r="D306" s="19"/>
      <c r="E306" s="16"/>
      <c r="F306" s="19"/>
      <c r="G306" s="16"/>
      <c r="H306" s="22"/>
      <c r="I306" s="25"/>
      <c r="J306" s="22"/>
      <c r="K306" s="25"/>
      <c r="L306" s="22"/>
      <c r="M306" s="25"/>
      <c r="N306" s="19"/>
      <c r="O306" s="19"/>
      <c r="P306" s="16"/>
      <c r="Q306" s="19"/>
      <c r="R306" s="16"/>
      <c r="S306" s="25"/>
      <c r="T306" s="22"/>
      <c r="U306" s="25"/>
      <c r="V306" s="22"/>
      <c r="W306" s="25"/>
    </row>
    <row r="307" spans="1:23" x14ac:dyDescent="0.2">
      <c r="A307" s="6"/>
      <c r="B307" s="19"/>
      <c r="C307" s="16"/>
      <c r="D307" s="19"/>
      <c r="E307" s="16"/>
      <c r="F307" s="19"/>
      <c r="G307" s="16"/>
      <c r="H307" s="22"/>
      <c r="I307" s="25"/>
      <c r="J307" s="22"/>
      <c r="K307" s="25"/>
      <c r="L307" s="22"/>
      <c r="M307" s="25"/>
      <c r="N307" s="19"/>
      <c r="O307" s="19"/>
      <c r="P307" s="16"/>
      <c r="Q307" s="19"/>
      <c r="R307" s="16"/>
      <c r="S307" s="25"/>
      <c r="T307" s="22"/>
      <c r="U307" s="25"/>
      <c r="V307" s="22"/>
      <c r="W307" s="25"/>
    </row>
    <row r="308" spans="1:23" x14ac:dyDescent="0.2">
      <c r="A308" s="6"/>
      <c r="B308" s="19"/>
      <c r="C308" s="16"/>
      <c r="D308" s="19"/>
      <c r="E308" s="16"/>
      <c r="F308" s="19"/>
      <c r="G308" s="16"/>
      <c r="H308" s="22"/>
      <c r="I308" s="25"/>
      <c r="J308" s="22"/>
      <c r="K308" s="25"/>
      <c r="L308" s="22"/>
      <c r="M308" s="25"/>
      <c r="N308" s="19"/>
      <c r="O308" s="19"/>
      <c r="P308" s="16"/>
      <c r="Q308" s="19"/>
      <c r="R308" s="16"/>
      <c r="S308" s="25"/>
      <c r="T308" s="22"/>
      <c r="U308" s="25"/>
      <c r="V308" s="22"/>
      <c r="W308" s="25"/>
    </row>
    <row r="309" spans="1:23" x14ac:dyDescent="0.2">
      <c r="A309" s="6"/>
      <c r="B309" s="19"/>
      <c r="C309" s="16"/>
      <c r="D309" s="19"/>
      <c r="E309" s="16"/>
      <c r="F309" s="19"/>
      <c r="G309" s="16"/>
      <c r="H309" s="22"/>
      <c r="I309" s="25"/>
      <c r="J309" s="22"/>
      <c r="K309" s="25"/>
      <c r="L309" s="22"/>
      <c r="M309" s="25"/>
      <c r="N309" s="19"/>
      <c r="O309" s="19"/>
      <c r="P309" s="16"/>
      <c r="Q309" s="19"/>
      <c r="R309" s="16"/>
      <c r="S309" s="25"/>
      <c r="T309" s="22"/>
      <c r="U309" s="25"/>
      <c r="V309" s="22"/>
      <c r="W309" s="25"/>
    </row>
    <row r="310" spans="1:23" x14ac:dyDescent="0.2">
      <c r="A310" s="6"/>
      <c r="B310" s="19"/>
      <c r="C310" s="16"/>
      <c r="D310" s="19"/>
      <c r="E310" s="16"/>
      <c r="F310" s="19"/>
      <c r="G310" s="16"/>
      <c r="H310" s="22"/>
      <c r="I310" s="25"/>
      <c r="J310" s="22"/>
      <c r="K310" s="25"/>
      <c r="L310" s="22"/>
      <c r="M310" s="25"/>
      <c r="N310" s="19"/>
      <c r="O310" s="19"/>
      <c r="P310" s="16"/>
      <c r="Q310" s="19"/>
      <c r="R310" s="16"/>
      <c r="S310" s="25"/>
      <c r="T310" s="22"/>
      <c r="U310" s="25"/>
      <c r="V310" s="22"/>
      <c r="W310" s="25"/>
    </row>
    <row r="311" spans="1:23" x14ac:dyDescent="0.2">
      <c r="A311" s="6"/>
      <c r="B311" s="19"/>
      <c r="C311" s="16"/>
      <c r="D311" s="19"/>
      <c r="E311" s="16"/>
      <c r="F311" s="19"/>
      <c r="G311" s="16"/>
      <c r="H311" s="22"/>
      <c r="I311" s="25"/>
      <c r="J311" s="22"/>
      <c r="K311" s="25"/>
      <c r="L311" s="22"/>
      <c r="M311" s="25"/>
      <c r="N311" s="19"/>
      <c r="O311" s="19"/>
      <c r="P311" s="16"/>
      <c r="Q311" s="19"/>
      <c r="R311" s="16"/>
      <c r="S311" s="25"/>
      <c r="T311" s="22"/>
      <c r="U311" s="25"/>
      <c r="V311" s="22"/>
      <c r="W311" s="25"/>
    </row>
    <row r="312" spans="1:23" x14ac:dyDescent="0.2">
      <c r="A312" s="6"/>
      <c r="B312" s="19"/>
      <c r="C312" s="16"/>
      <c r="D312" s="19"/>
      <c r="E312" s="16"/>
      <c r="F312" s="19"/>
      <c r="G312" s="16"/>
      <c r="H312" s="22"/>
      <c r="I312" s="25"/>
      <c r="J312" s="22"/>
      <c r="K312" s="25"/>
      <c r="L312" s="22"/>
      <c r="M312" s="25"/>
      <c r="N312" s="19"/>
      <c r="O312" s="19"/>
      <c r="P312" s="16"/>
      <c r="Q312" s="19"/>
      <c r="R312" s="16"/>
      <c r="S312" s="25"/>
      <c r="T312" s="22"/>
      <c r="U312" s="25"/>
      <c r="V312" s="22"/>
      <c r="W312" s="25"/>
    </row>
    <row r="313" spans="1:23" x14ac:dyDescent="0.2">
      <c r="A313" s="6"/>
      <c r="B313" s="19"/>
      <c r="C313" s="16"/>
      <c r="D313" s="19"/>
      <c r="E313" s="16"/>
      <c r="F313" s="19"/>
      <c r="G313" s="16"/>
      <c r="H313" s="22"/>
      <c r="I313" s="25"/>
      <c r="J313" s="22"/>
      <c r="K313" s="25"/>
      <c r="L313" s="22"/>
      <c r="M313" s="25"/>
      <c r="N313" s="19"/>
      <c r="O313" s="19"/>
      <c r="P313" s="16"/>
      <c r="Q313" s="19"/>
      <c r="R313" s="16"/>
      <c r="S313" s="25"/>
      <c r="T313" s="22"/>
      <c r="U313" s="25"/>
      <c r="V313" s="22"/>
      <c r="W313" s="25"/>
    </row>
    <row r="314" spans="1:23" x14ac:dyDescent="0.2">
      <c r="A314" s="6"/>
      <c r="B314" s="19"/>
      <c r="C314" s="16"/>
      <c r="D314" s="19"/>
      <c r="E314" s="16"/>
      <c r="F314" s="19"/>
      <c r="G314" s="16"/>
      <c r="H314" s="22"/>
      <c r="I314" s="25"/>
      <c r="J314" s="22"/>
      <c r="K314" s="25"/>
      <c r="L314" s="22"/>
      <c r="M314" s="25"/>
      <c r="N314" s="19"/>
      <c r="O314" s="19"/>
      <c r="P314" s="16"/>
      <c r="Q314" s="19"/>
      <c r="R314" s="16"/>
      <c r="S314" s="25"/>
      <c r="T314" s="22"/>
      <c r="U314" s="25"/>
      <c r="V314" s="22"/>
      <c r="W314" s="25"/>
    </row>
    <row r="315" spans="1:23" x14ac:dyDescent="0.2">
      <c r="A315" s="6"/>
      <c r="B315" s="19"/>
      <c r="C315" s="16"/>
      <c r="D315" s="19"/>
      <c r="E315" s="16"/>
      <c r="F315" s="19"/>
      <c r="G315" s="16"/>
      <c r="H315" s="22"/>
      <c r="I315" s="25"/>
      <c r="J315" s="22"/>
      <c r="K315" s="25"/>
      <c r="L315" s="22"/>
      <c r="M315" s="25"/>
      <c r="N315" s="19"/>
      <c r="O315" s="19"/>
      <c r="P315" s="16"/>
      <c r="Q315" s="19"/>
      <c r="R315" s="16"/>
      <c r="S315" s="25"/>
      <c r="T315" s="22"/>
      <c r="U315" s="25"/>
      <c r="V315" s="22"/>
      <c r="W315" s="25"/>
    </row>
    <row r="316" spans="1:23" x14ac:dyDescent="0.2">
      <c r="A316" s="6"/>
      <c r="B316" s="19"/>
      <c r="C316" s="16"/>
      <c r="D316" s="19"/>
      <c r="E316" s="16"/>
      <c r="F316" s="19"/>
      <c r="G316" s="16"/>
      <c r="H316" s="22"/>
      <c r="I316" s="25"/>
      <c r="J316" s="22"/>
      <c r="K316" s="25"/>
      <c r="L316" s="22"/>
      <c r="M316" s="25"/>
      <c r="N316" s="19"/>
      <c r="O316" s="19"/>
      <c r="P316" s="16"/>
      <c r="Q316" s="19"/>
      <c r="R316" s="16"/>
      <c r="S316" s="25"/>
      <c r="T316" s="22"/>
      <c r="U316" s="25"/>
      <c r="V316" s="22"/>
      <c r="W316" s="25"/>
    </row>
    <row r="317" spans="1:23" x14ac:dyDescent="0.2">
      <c r="A317" s="6"/>
      <c r="B317" s="19"/>
      <c r="C317" s="16"/>
      <c r="D317" s="19"/>
      <c r="E317" s="16"/>
      <c r="F317" s="19"/>
      <c r="G317" s="16"/>
      <c r="H317" s="22"/>
      <c r="I317" s="25"/>
      <c r="J317" s="22"/>
      <c r="K317" s="25"/>
      <c r="L317" s="22"/>
      <c r="M317" s="25"/>
      <c r="N317" s="19"/>
      <c r="O317" s="19"/>
      <c r="P317" s="16"/>
      <c r="Q317" s="19"/>
      <c r="R317" s="16"/>
      <c r="S317" s="25"/>
      <c r="T317" s="22"/>
      <c r="U317" s="25"/>
      <c r="V317" s="22"/>
      <c r="W317" s="25"/>
    </row>
    <row r="318" spans="1:23" x14ac:dyDescent="0.2">
      <c r="A318" s="6"/>
      <c r="B318" s="19"/>
      <c r="C318" s="16"/>
      <c r="D318" s="19"/>
      <c r="E318" s="16"/>
      <c r="F318" s="19"/>
      <c r="G318" s="16"/>
      <c r="H318" s="22"/>
      <c r="I318" s="25"/>
      <c r="J318" s="22"/>
      <c r="K318" s="25"/>
      <c r="L318" s="22"/>
      <c r="M318" s="25"/>
      <c r="N318" s="19"/>
      <c r="O318" s="19"/>
      <c r="P318" s="16"/>
      <c r="Q318" s="19"/>
      <c r="R318" s="16"/>
      <c r="S318" s="25"/>
      <c r="T318" s="22"/>
      <c r="U318" s="25"/>
      <c r="V318" s="22"/>
      <c r="W318" s="25"/>
    </row>
    <row r="319" spans="1:23" x14ac:dyDescent="0.2">
      <c r="A319" s="6"/>
      <c r="B319" s="19"/>
      <c r="C319" s="16"/>
      <c r="D319" s="19"/>
      <c r="E319" s="16"/>
      <c r="F319" s="19"/>
      <c r="G319" s="16"/>
      <c r="H319" s="22"/>
      <c r="I319" s="25"/>
      <c r="J319" s="22"/>
      <c r="K319" s="25"/>
      <c r="L319" s="22"/>
      <c r="M319" s="25"/>
      <c r="N319" s="19"/>
      <c r="O319" s="19"/>
      <c r="P319" s="16"/>
      <c r="Q319" s="19"/>
      <c r="R319" s="16"/>
      <c r="S319" s="25"/>
      <c r="T319" s="22"/>
      <c r="U319" s="25"/>
      <c r="V319" s="22"/>
      <c r="W319" s="25"/>
    </row>
    <row r="320" spans="1:23" x14ac:dyDescent="0.2">
      <c r="A320" s="6"/>
      <c r="B320" s="19"/>
      <c r="C320" s="16"/>
      <c r="D320" s="19"/>
      <c r="E320" s="16"/>
      <c r="F320" s="19"/>
      <c r="G320" s="16"/>
      <c r="H320" s="22"/>
      <c r="I320" s="25"/>
      <c r="J320" s="22"/>
      <c r="K320" s="25"/>
      <c r="L320" s="22"/>
      <c r="M320" s="25"/>
      <c r="N320" s="19"/>
      <c r="O320" s="19"/>
      <c r="P320" s="16"/>
      <c r="Q320" s="19"/>
      <c r="R320" s="16"/>
      <c r="S320" s="25"/>
      <c r="T320" s="22"/>
      <c r="U320" s="25"/>
      <c r="V320" s="22"/>
      <c r="W320" s="25"/>
    </row>
    <row r="321" spans="1:23" x14ac:dyDescent="0.2">
      <c r="A321" s="6"/>
      <c r="B321" s="19"/>
      <c r="C321" s="16"/>
      <c r="D321" s="19"/>
      <c r="E321" s="16"/>
      <c r="F321" s="19"/>
      <c r="G321" s="16"/>
      <c r="H321" s="22"/>
      <c r="I321" s="25"/>
      <c r="J321" s="22"/>
      <c r="K321" s="25"/>
      <c r="L321" s="22"/>
      <c r="M321" s="25"/>
      <c r="N321" s="19"/>
      <c r="O321" s="19"/>
      <c r="P321" s="16"/>
      <c r="Q321" s="19"/>
      <c r="R321" s="16"/>
      <c r="S321" s="25"/>
      <c r="T321" s="22"/>
      <c r="U321" s="25"/>
      <c r="V321" s="22"/>
      <c r="W321" s="25"/>
    </row>
    <row r="322" spans="1:23" x14ac:dyDescent="0.2">
      <c r="A322" s="6"/>
      <c r="B322" s="19"/>
      <c r="C322" s="16"/>
      <c r="D322" s="19"/>
      <c r="E322" s="16"/>
      <c r="F322" s="19"/>
      <c r="G322" s="16"/>
      <c r="H322" s="22"/>
      <c r="I322" s="25"/>
      <c r="J322" s="22"/>
      <c r="K322" s="25"/>
      <c r="L322" s="22"/>
      <c r="M322" s="25"/>
      <c r="N322" s="19"/>
      <c r="O322" s="19"/>
      <c r="P322" s="16"/>
      <c r="Q322" s="19"/>
      <c r="R322" s="16"/>
      <c r="S322" s="25"/>
      <c r="T322" s="22"/>
      <c r="U322" s="25"/>
      <c r="V322" s="22"/>
      <c r="W322" s="25"/>
    </row>
    <row r="323" spans="1:23" x14ac:dyDescent="0.2">
      <c r="A323" s="6"/>
      <c r="B323" s="19"/>
      <c r="C323" s="16"/>
      <c r="D323" s="19"/>
      <c r="E323" s="16"/>
      <c r="F323" s="19"/>
      <c r="G323" s="16"/>
      <c r="H323" s="22"/>
      <c r="I323" s="25"/>
      <c r="J323" s="22"/>
      <c r="K323" s="25"/>
      <c r="L323" s="22"/>
      <c r="M323" s="25"/>
      <c r="N323" s="19"/>
      <c r="O323" s="19"/>
      <c r="P323" s="16"/>
      <c r="Q323" s="19"/>
      <c r="R323" s="16"/>
      <c r="S323" s="25"/>
      <c r="T323" s="22"/>
      <c r="U323" s="25"/>
      <c r="V323" s="22"/>
      <c r="W323" s="25"/>
    </row>
    <row r="324" spans="1:23" x14ac:dyDescent="0.2">
      <c r="A324" s="6"/>
      <c r="B324" s="19"/>
      <c r="C324" s="16"/>
      <c r="D324" s="19"/>
      <c r="E324" s="16"/>
      <c r="F324" s="19"/>
      <c r="G324" s="16"/>
      <c r="H324" s="22"/>
      <c r="I324" s="25"/>
      <c r="J324" s="22"/>
      <c r="K324" s="25"/>
      <c r="L324" s="22"/>
      <c r="M324" s="25"/>
      <c r="N324" s="19"/>
      <c r="O324" s="19"/>
      <c r="P324" s="16"/>
      <c r="Q324" s="19"/>
      <c r="R324" s="16"/>
      <c r="S324" s="25"/>
      <c r="T324" s="22"/>
      <c r="U324" s="25"/>
      <c r="V324" s="22"/>
      <c r="W324" s="25"/>
    </row>
    <row r="325" spans="1:23" x14ac:dyDescent="0.2">
      <c r="A325" s="6"/>
      <c r="B325" s="19"/>
      <c r="C325" s="16"/>
      <c r="D325" s="19"/>
      <c r="E325" s="16"/>
      <c r="F325" s="19"/>
      <c r="G325" s="16"/>
      <c r="H325" s="22"/>
      <c r="I325" s="25"/>
      <c r="J325" s="22"/>
      <c r="K325" s="25"/>
      <c r="L325" s="22"/>
      <c r="M325" s="25"/>
      <c r="N325" s="19"/>
      <c r="O325" s="19"/>
      <c r="P325" s="16"/>
      <c r="Q325" s="19"/>
      <c r="R325" s="16"/>
      <c r="S325" s="25"/>
      <c r="T325" s="22"/>
      <c r="U325" s="25"/>
      <c r="V325" s="22"/>
      <c r="W325" s="25"/>
    </row>
    <row r="326" spans="1:23" x14ac:dyDescent="0.2">
      <c r="A326" s="6"/>
      <c r="B326" s="19"/>
      <c r="C326" s="16"/>
      <c r="D326" s="19"/>
      <c r="E326" s="16"/>
      <c r="F326" s="19"/>
      <c r="G326" s="16"/>
      <c r="H326" s="22"/>
      <c r="I326" s="25"/>
      <c r="J326" s="22"/>
      <c r="K326" s="25"/>
      <c r="L326" s="22"/>
      <c r="M326" s="25"/>
      <c r="N326" s="19"/>
      <c r="O326" s="19"/>
      <c r="P326" s="16"/>
      <c r="Q326" s="19"/>
      <c r="R326" s="16"/>
      <c r="S326" s="25"/>
      <c r="T326" s="22"/>
      <c r="U326" s="25"/>
      <c r="V326" s="22"/>
      <c r="W326" s="25"/>
    </row>
    <row r="327" spans="1:23" x14ac:dyDescent="0.2">
      <c r="A327" s="6"/>
      <c r="B327" s="19"/>
      <c r="C327" s="16"/>
      <c r="D327" s="19"/>
      <c r="E327" s="16"/>
      <c r="F327" s="19"/>
      <c r="G327" s="16"/>
      <c r="H327" s="22"/>
      <c r="I327" s="25"/>
      <c r="J327" s="22"/>
      <c r="K327" s="25"/>
      <c r="L327" s="22"/>
      <c r="M327" s="25"/>
      <c r="N327" s="19"/>
      <c r="O327" s="19"/>
      <c r="P327" s="16"/>
      <c r="Q327" s="19"/>
      <c r="R327" s="16"/>
      <c r="S327" s="25"/>
      <c r="T327" s="22"/>
      <c r="U327" s="25"/>
      <c r="V327" s="22"/>
      <c r="W327" s="25"/>
    </row>
    <row r="328" spans="1:23" x14ac:dyDescent="0.2">
      <c r="A328" s="6"/>
      <c r="B328" s="19"/>
      <c r="C328" s="16"/>
      <c r="D328" s="19"/>
      <c r="E328" s="16"/>
      <c r="F328" s="19"/>
      <c r="G328" s="16"/>
      <c r="H328" s="22"/>
      <c r="I328" s="25"/>
      <c r="J328" s="22"/>
      <c r="K328" s="25"/>
      <c r="L328" s="22"/>
      <c r="M328" s="25"/>
      <c r="N328" s="19"/>
      <c r="O328" s="19"/>
      <c r="P328" s="16"/>
      <c r="Q328" s="19"/>
      <c r="R328" s="16"/>
      <c r="S328" s="25"/>
      <c r="T328" s="22"/>
      <c r="U328" s="25"/>
      <c r="V328" s="22"/>
      <c r="W328" s="25"/>
    </row>
    <row r="329" spans="1:23" x14ac:dyDescent="0.2">
      <c r="A329" s="6"/>
      <c r="B329" s="19"/>
      <c r="C329" s="16"/>
      <c r="D329" s="19"/>
      <c r="E329" s="16"/>
      <c r="F329" s="19"/>
      <c r="G329" s="16"/>
      <c r="H329" s="22"/>
      <c r="I329" s="25"/>
      <c r="J329" s="22"/>
      <c r="K329" s="25"/>
      <c r="L329" s="22"/>
      <c r="M329" s="25"/>
      <c r="N329" s="19"/>
      <c r="O329" s="19"/>
      <c r="P329" s="16"/>
      <c r="Q329" s="19"/>
      <c r="R329" s="16"/>
      <c r="S329" s="25"/>
      <c r="T329" s="22"/>
      <c r="U329" s="25"/>
      <c r="V329" s="22"/>
      <c r="W329" s="25"/>
    </row>
    <row r="330" spans="1:23" x14ac:dyDescent="0.2">
      <c r="A330" s="6"/>
      <c r="B330" s="19"/>
      <c r="C330" s="16"/>
      <c r="D330" s="19"/>
      <c r="E330" s="16"/>
      <c r="F330" s="19"/>
      <c r="G330" s="16"/>
      <c r="H330" s="22"/>
      <c r="I330" s="25"/>
      <c r="J330" s="22"/>
      <c r="K330" s="25"/>
      <c r="L330" s="22"/>
      <c r="M330" s="25"/>
      <c r="N330" s="19"/>
      <c r="O330" s="19"/>
      <c r="P330" s="16"/>
      <c r="Q330" s="19"/>
      <c r="R330" s="16"/>
      <c r="S330" s="25"/>
      <c r="T330" s="22"/>
      <c r="U330" s="25"/>
      <c r="V330" s="22"/>
      <c r="W330" s="25"/>
    </row>
    <row r="331" spans="1:23" x14ac:dyDescent="0.2">
      <c r="A331" s="6"/>
      <c r="B331" s="19"/>
      <c r="C331" s="16"/>
      <c r="D331" s="19"/>
      <c r="E331" s="16"/>
      <c r="F331" s="19"/>
      <c r="G331" s="16"/>
      <c r="H331" s="22"/>
      <c r="I331" s="25"/>
      <c r="J331" s="22"/>
      <c r="K331" s="25"/>
      <c r="L331" s="22"/>
      <c r="M331" s="25"/>
      <c r="N331" s="19"/>
      <c r="O331" s="19"/>
      <c r="P331" s="16"/>
      <c r="Q331" s="19"/>
      <c r="R331" s="16"/>
      <c r="S331" s="25"/>
      <c r="T331" s="22"/>
      <c r="U331" s="25"/>
      <c r="V331" s="22"/>
      <c r="W331" s="25"/>
    </row>
    <row r="332" spans="1:23" x14ac:dyDescent="0.2">
      <c r="A332" s="6"/>
      <c r="B332" s="19"/>
      <c r="C332" s="16"/>
      <c r="D332" s="19"/>
      <c r="E332" s="16"/>
      <c r="F332" s="19"/>
      <c r="G332" s="16"/>
      <c r="H332" s="22"/>
      <c r="I332" s="25"/>
      <c r="J332" s="22"/>
      <c r="K332" s="25"/>
      <c r="L332" s="22"/>
      <c r="M332" s="25"/>
      <c r="N332" s="19"/>
      <c r="O332" s="19"/>
      <c r="P332" s="16"/>
      <c r="Q332" s="19"/>
      <c r="R332" s="16"/>
      <c r="S332" s="25"/>
      <c r="T332" s="22"/>
      <c r="U332" s="25"/>
      <c r="V332" s="22"/>
      <c r="W332" s="25"/>
    </row>
    <row r="333" spans="1:23" x14ac:dyDescent="0.2">
      <c r="A333" s="6"/>
      <c r="B333" s="19"/>
      <c r="C333" s="16"/>
      <c r="D333" s="19"/>
      <c r="E333" s="16"/>
      <c r="F333" s="19"/>
      <c r="G333" s="16"/>
      <c r="H333" s="22"/>
      <c r="I333" s="25"/>
      <c r="J333" s="22"/>
      <c r="K333" s="25"/>
      <c r="L333" s="22"/>
      <c r="M333" s="25"/>
      <c r="N333" s="19"/>
      <c r="O333" s="19"/>
      <c r="P333" s="16"/>
      <c r="Q333" s="19"/>
      <c r="R333" s="16"/>
      <c r="S333" s="25"/>
      <c r="T333" s="22"/>
      <c r="U333" s="25"/>
      <c r="V333" s="22"/>
      <c r="W333" s="25"/>
    </row>
    <row r="334" spans="1:23" x14ac:dyDescent="0.2">
      <c r="A334" s="6"/>
      <c r="B334" s="19"/>
      <c r="C334" s="16"/>
      <c r="D334" s="19"/>
      <c r="E334" s="16"/>
      <c r="F334" s="19"/>
      <c r="G334" s="16"/>
      <c r="H334" s="22"/>
      <c r="I334" s="25"/>
      <c r="J334" s="22"/>
      <c r="K334" s="25"/>
      <c r="L334" s="22"/>
      <c r="M334" s="25"/>
      <c r="N334" s="19"/>
      <c r="O334" s="19"/>
      <c r="P334" s="16"/>
      <c r="Q334" s="19"/>
      <c r="R334" s="16"/>
      <c r="S334" s="25"/>
      <c r="T334" s="22"/>
      <c r="U334" s="25"/>
      <c r="V334" s="22"/>
      <c r="W334" s="25"/>
    </row>
    <row r="335" spans="1:23" x14ac:dyDescent="0.2">
      <c r="A335" s="6"/>
      <c r="B335" s="19"/>
      <c r="C335" s="16"/>
      <c r="D335" s="19"/>
      <c r="E335" s="16"/>
      <c r="F335" s="19"/>
      <c r="G335" s="16"/>
      <c r="H335" s="22"/>
      <c r="I335" s="25"/>
      <c r="J335" s="22"/>
      <c r="K335" s="25"/>
      <c r="L335" s="22"/>
      <c r="M335" s="25"/>
      <c r="N335" s="19"/>
      <c r="O335" s="19"/>
      <c r="P335" s="16"/>
      <c r="Q335" s="19"/>
      <c r="R335" s="16"/>
      <c r="S335" s="25"/>
      <c r="T335" s="22"/>
      <c r="U335" s="25"/>
      <c r="V335" s="22"/>
      <c r="W335" s="25"/>
    </row>
    <row r="336" spans="1:23" x14ac:dyDescent="0.2">
      <c r="A336" s="6"/>
      <c r="B336" s="19"/>
      <c r="C336" s="16"/>
      <c r="D336" s="19"/>
      <c r="E336" s="16"/>
      <c r="F336" s="19"/>
      <c r="G336" s="16"/>
      <c r="H336" s="22"/>
      <c r="I336" s="25"/>
      <c r="J336" s="22"/>
      <c r="K336" s="25"/>
      <c r="L336" s="22"/>
      <c r="M336" s="25"/>
      <c r="N336" s="19"/>
      <c r="O336" s="19"/>
      <c r="P336" s="16"/>
      <c r="Q336" s="19"/>
      <c r="R336" s="16"/>
      <c r="S336" s="25"/>
      <c r="T336" s="22"/>
      <c r="U336" s="25"/>
      <c r="V336" s="22"/>
      <c r="W336" s="25"/>
    </row>
    <row r="337" spans="1:23" x14ac:dyDescent="0.2">
      <c r="A337" s="6"/>
      <c r="B337" s="19"/>
      <c r="C337" s="16"/>
      <c r="D337" s="19"/>
      <c r="E337" s="16"/>
      <c r="F337" s="19"/>
      <c r="G337" s="16"/>
      <c r="H337" s="22"/>
      <c r="I337" s="25"/>
      <c r="J337" s="22"/>
      <c r="K337" s="25"/>
      <c r="L337" s="22"/>
      <c r="M337" s="25"/>
      <c r="N337" s="19"/>
      <c r="O337" s="19"/>
      <c r="P337" s="16"/>
      <c r="Q337" s="19"/>
      <c r="R337" s="16"/>
      <c r="S337" s="25"/>
      <c r="T337" s="22"/>
      <c r="U337" s="25"/>
      <c r="V337" s="22"/>
      <c r="W337" s="25"/>
    </row>
    <row r="338" spans="1:23" x14ac:dyDescent="0.2">
      <c r="A338" s="6"/>
      <c r="B338" s="19"/>
      <c r="C338" s="16"/>
      <c r="D338" s="19"/>
      <c r="E338" s="16"/>
      <c r="F338" s="19"/>
      <c r="G338" s="16"/>
      <c r="H338" s="22"/>
      <c r="I338" s="25"/>
      <c r="J338" s="22"/>
      <c r="K338" s="25"/>
      <c r="L338" s="22"/>
      <c r="M338" s="25"/>
      <c r="N338" s="19"/>
      <c r="O338" s="19"/>
      <c r="P338" s="16"/>
      <c r="Q338" s="19"/>
      <c r="R338" s="16"/>
      <c r="S338" s="25"/>
      <c r="T338" s="22"/>
      <c r="U338" s="25"/>
      <c r="V338" s="22"/>
      <c r="W338" s="25"/>
    </row>
    <row r="339" spans="1:23" x14ac:dyDescent="0.2">
      <c r="A339" s="6"/>
      <c r="B339" s="19"/>
      <c r="C339" s="16"/>
      <c r="D339" s="19"/>
      <c r="E339" s="16"/>
      <c r="F339" s="19"/>
      <c r="G339" s="16"/>
      <c r="H339" s="22"/>
      <c r="I339" s="25"/>
      <c r="J339" s="22"/>
      <c r="K339" s="25"/>
      <c r="L339" s="22"/>
      <c r="M339" s="25"/>
      <c r="N339" s="19"/>
      <c r="O339" s="19"/>
      <c r="P339" s="16"/>
      <c r="Q339" s="19"/>
      <c r="R339" s="16"/>
      <c r="S339" s="25"/>
      <c r="T339" s="22"/>
      <c r="U339" s="25"/>
      <c r="V339" s="22"/>
      <c r="W339" s="25"/>
    </row>
    <row r="340" spans="1:23" x14ac:dyDescent="0.2">
      <c r="A340" s="6"/>
      <c r="B340" s="19"/>
      <c r="C340" s="16"/>
      <c r="D340" s="19"/>
      <c r="E340" s="16"/>
      <c r="F340" s="19"/>
      <c r="G340" s="16"/>
      <c r="H340" s="22"/>
      <c r="I340" s="25"/>
      <c r="J340" s="22"/>
      <c r="K340" s="25"/>
      <c r="L340" s="22"/>
      <c r="M340" s="25"/>
      <c r="N340" s="19"/>
      <c r="O340" s="19"/>
      <c r="P340" s="16"/>
      <c r="Q340" s="19"/>
      <c r="R340" s="16"/>
      <c r="S340" s="25"/>
      <c r="T340" s="22"/>
      <c r="U340" s="25"/>
      <c r="V340" s="22"/>
      <c r="W340" s="25"/>
    </row>
    <row r="341" spans="1:23" x14ac:dyDescent="0.2">
      <c r="A341" s="6"/>
      <c r="B341" s="19"/>
      <c r="C341" s="16"/>
      <c r="D341" s="19"/>
      <c r="E341" s="16"/>
      <c r="F341" s="19"/>
      <c r="G341" s="16"/>
      <c r="H341" s="22"/>
      <c r="I341" s="25"/>
      <c r="J341" s="22"/>
      <c r="K341" s="25"/>
      <c r="L341" s="22"/>
      <c r="M341" s="25"/>
      <c r="N341" s="19"/>
      <c r="O341" s="19"/>
      <c r="P341" s="16"/>
      <c r="Q341" s="19"/>
      <c r="R341" s="16"/>
      <c r="S341" s="25"/>
      <c r="T341" s="22"/>
      <c r="U341" s="25"/>
      <c r="V341" s="22"/>
      <c r="W341" s="25"/>
    </row>
    <row r="342" spans="1:23" x14ac:dyDescent="0.2">
      <c r="A342" s="6"/>
      <c r="B342" s="19"/>
      <c r="C342" s="16"/>
      <c r="D342" s="19"/>
      <c r="E342" s="16"/>
      <c r="F342" s="19"/>
      <c r="G342" s="16"/>
      <c r="H342" s="22"/>
      <c r="I342" s="25"/>
      <c r="J342" s="22"/>
      <c r="K342" s="25"/>
      <c r="L342" s="22"/>
      <c r="M342" s="25"/>
      <c r="N342" s="19"/>
      <c r="O342" s="19"/>
      <c r="P342" s="16"/>
      <c r="Q342" s="19"/>
      <c r="R342" s="16"/>
      <c r="S342" s="25"/>
      <c r="T342" s="22"/>
      <c r="U342" s="25"/>
      <c r="V342" s="22"/>
      <c r="W342" s="25"/>
    </row>
    <row r="343" spans="1:23" x14ac:dyDescent="0.2">
      <c r="A343" s="6"/>
      <c r="B343" s="19"/>
      <c r="C343" s="16"/>
      <c r="D343" s="19"/>
      <c r="E343" s="16"/>
      <c r="F343" s="19"/>
      <c r="G343" s="16"/>
      <c r="H343" s="22"/>
      <c r="I343" s="25"/>
      <c r="J343" s="22"/>
      <c r="K343" s="25"/>
      <c r="L343" s="22"/>
      <c r="M343" s="25"/>
      <c r="N343" s="19"/>
      <c r="O343" s="19"/>
      <c r="P343" s="16"/>
      <c r="Q343" s="19"/>
      <c r="R343" s="16"/>
      <c r="S343" s="25"/>
      <c r="T343" s="22"/>
      <c r="U343" s="25"/>
      <c r="V343" s="22"/>
      <c r="W343" s="25"/>
    </row>
    <row r="344" spans="1:23" x14ac:dyDescent="0.2">
      <c r="A344" s="6"/>
      <c r="B344" s="19"/>
      <c r="C344" s="16"/>
      <c r="D344" s="19"/>
      <c r="E344" s="16"/>
      <c r="F344" s="19"/>
      <c r="G344" s="16"/>
      <c r="H344" s="22"/>
      <c r="I344" s="25"/>
      <c r="J344" s="22"/>
      <c r="K344" s="25"/>
      <c r="L344" s="22"/>
      <c r="M344" s="25"/>
      <c r="N344" s="19"/>
      <c r="O344" s="19"/>
      <c r="P344" s="16"/>
      <c r="Q344" s="19"/>
      <c r="R344" s="16"/>
      <c r="S344" s="25"/>
      <c r="T344" s="22"/>
      <c r="U344" s="25"/>
      <c r="V344" s="22"/>
      <c r="W344" s="25"/>
    </row>
    <row r="345" spans="1:23" x14ac:dyDescent="0.2">
      <c r="A345" s="6"/>
      <c r="B345" s="19"/>
      <c r="C345" s="16"/>
      <c r="D345" s="19"/>
      <c r="E345" s="16"/>
      <c r="F345" s="19"/>
      <c r="G345" s="16"/>
      <c r="H345" s="22"/>
      <c r="I345" s="25"/>
      <c r="J345" s="22"/>
      <c r="K345" s="25"/>
      <c r="L345" s="22"/>
      <c r="M345" s="25"/>
      <c r="N345" s="19"/>
      <c r="O345" s="19"/>
      <c r="P345" s="16"/>
      <c r="Q345" s="19"/>
      <c r="R345" s="16"/>
      <c r="S345" s="25"/>
      <c r="T345" s="22"/>
      <c r="U345" s="25"/>
      <c r="V345" s="22"/>
      <c r="W345" s="25"/>
    </row>
    <row r="346" spans="1:23" x14ac:dyDescent="0.2">
      <c r="A346" s="6"/>
      <c r="B346" s="19"/>
      <c r="C346" s="16"/>
      <c r="D346" s="19"/>
      <c r="E346" s="16"/>
      <c r="F346" s="19"/>
      <c r="G346" s="16"/>
      <c r="H346" s="22"/>
      <c r="I346" s="25"/>
      <c r="J346" s="22"/>
      <c r="K346" s="25"/>
      <c r="L346" s="22"/>
      <c r="M346" s="25"/>
      <c r="N346" s="19"/>
      <c r="O346" s="19"/>
      <c r="P346" s="16"/>
      <c r="Q346" s="19"/>
      <c r="R346" s="16"/>
      <c r="S346" s="25"/>
      <c r="T346" s="22"/>
      <c r="U346" s="25"/>
      <c r="V346" s="22"/>
      <c r="W346" s="25"/>
    </row>
    <row r="347" spans="1:23" x14ac:dyDescent="0.2">
      <c r="A347" s="6"/>
      <c r="B347" s="19"/>
      <c r="C347" s="16"/>
      <c r="D347" s="19"/>
      <c r="E347" s="16"/>
      <c r="F347" s="19"/>
      <c r="G347" s="16"/>
      <c r="H347" s="22"/>
      <c r="I347" s="25"/>
      <c r="J347" s="22"/>
      <c r="K347" s="25"/>
      <c r="L347" s="22"/>
      <c r="M347" s="25"/>
      <c r="N347" s="19"/>
      <c r="O347" s="19"/>
      <c r="P347" s="16"/>
      <c r="Q347" s="19"/>
      <c r="R347" s="16"/>
      <c r="S347" s="25"/>
      <c r="T347" s="22"/>
      <c r="U347" s="25"/>
      <c r="V347" s="22"/>
      <c r="W347" s="25"/>
    </row>
    <row r="348" spans="1:23" x14ac:dyDescent="0.2">
      <c r="A348" s="6"/>
      <c r="B348" s="19"/>
      <c r="C348" s="16"/>
      <c r="D348" s="19"/>
      <c r="E348" s="16"/>
      <c r="F348" s="19"/>
      <c r="G348" s="16"/>
      <c r="H348" s="22"/>
      <c r="I348" s="25"/>
      <c r="J348" s="22"/>
      <c r="K348" s="25"/>
      <c r="L348" s="22"/>
      <c r="M348" s="25"/>
      <c r="N348" s="19"/>
      <c r="O348" s="19"/>
      <c r="P348" s="16"/>
      <c r="Q348" s="19"/>
      <c r="R348" s="16"/>
      <c r="S348" s="25"/>
      <c r="T348" s="22"/>
      <c r="U348" s="25"/>
      <c r="V348" s="22"/>
      <c r="W348" s="25"/>
    </row>
    <row r="349" spans="1:23" x14ac:dyDescent="0.2">
      <c r="A349" s="6"/>
      <c r="B349" s="19"/>
      <c r="C349" s="16"/>
      <c r="D349" s="19"/>
      <c r="E349" s="16"/>
      <c r="F349" s="19"/>
      <c r="G349" s="16"/>
      <c r="H349" s="22"/>
      <c r="I349" s="25"/>
      <c r="J349" s="22"/>
      <c r="K349" s="25"/>
      <c r="L349" s="22"/>
      <c r="M349" s="25"/>
      <c r="N349" s="19"/>
      <c r="O349" s="19"/>
      <c r="P349" s="16"/>
      <c r="Q349" s="19"/>
      <c r="R349" s="16"/>
      <c r="S349" s="25"/>
      <c r="T349" s="22"/>
      <c r="U349" s="25"/>
      <c r="V349" s="22"/>
      <c r="W349" s="25"/>
    </row>
    <row r="350" spans="1:23" x14ac:dyDescent="0.2">
      <c r="A350" s="6"/>
      <c r="B350" s="19"/>
      <c r="C350" s="16"/>
      <c r="D350" s="19"/>
      <c r="E350" s="16"/>
      <c r="F350" s="19"/>
      <c r="G350" s="16"/>
      <c r="H350" s="22"/>
      <c r="I350" s="25"/>
      <c r="J350" s="22"/>
      <c r="K350" s="25"/>
      <c r="L350" s="22"/>
      <c r="M350" s="25"/>
      <c r="N350" s="19"/>
      <c r="O350" s="19"/>
      <c r="P350" s="16"/>
      <c r="Q350" s="19"/>
      <c r="R350" s="16"/>
      <c r="S350" s="25"/>
      <c r="T350" s="22"/>
      <c r="U350" s="25"/>
      <c r="V350" s="22"/>
      <c r="W350" s="25"/>
    </row>
    <row r="351" spans="1:23" x14ac:dyDescent="0.2">
      <c r="A351" s="6"/>
      <c r="B351" s="19"/>
      <c r="C351" s="16"/>
      <c r="D351" s="19"/>
      <c r="E351" s="16"/>
      <c r="F351" s="19"/>
      <c r="G351" s="16"/>
      <c r="H351" s="22"/>
      <c r="I351" s="25"/>
      <c r="J351" s="22"/>
      <c r="K351" s="25"/>
      <c r="L351" s="22"/>
      <c r="M351" s="25"/>
      <c r="N351" s="19"/>
      <c r="O351" s="19"/>
      <c r="P351" s="16"/>
      <c r="Q351" s="19"/>
      <c r="R351" s="16"/>
      <c r="S351" s="25"/>
      <c r="T351" s="22"/>
      <c r="U351" s="25"/>
      <c r="V351" s="22"/>
      <c r="W351" s="25"/>
    </row>
    <row r="352" spans="1:23" x14ac:dyDescent="0.2">
      <c r="A352" s="6"/>
      <c r="B352" s="19"/>
      <c r="C352" s="16"/>
      <c r="D352" s="19"/>
      <c r="E352" s="16"/>
      <c r="F352" s="19"/>
      <c r="G352" s="16"/>
      <c r="H352" s="22"/>
      <c r="I352" s="25"/>
      <c r="J352" s="22"/>
      <c r="K352" s="25"/>
      <c r="L352" s="22"/>
      <c r="M352" s="25"/>
      <c r="N352" s="19"/>
      <c r="O352" s="19"/>
      <c r="P352" s="16"/>
      <c r="Q352" s="19"/>
      <c r="R352" s="16"/>
      <c r="S352" s="25"/>
      <c r="T352" s="22"/>
      <c r="U352" s="25"/>
      <c r="V352" s="22"/>
      <c r="W352" s="25"/>
    </row>
    <row r="353" spans="1:23" x14ac:dyDescent="0.2">
      <c r="A353" s="6"/>
      <c r="B353" s="19"/>
      <c r="C353" s="16"/>
      <c r="D353" s="19"/>
      <c r="E353" s="16"/>
      <c r="F353" s="19"/>
      <c r="G353" s="16"/>
      <c r="H353" s="22"/>
      <c r="I353" s="25"/>
      <c r="J353" s="22"/>
      <c r="K353" s="25"/>
      <c r="L353" s="22"/>
      <c r="M353" s="25"/>
      <c r="N353" s="19"/>
      <c r="O353" s="19"/>
      <c r="P353" s="16"/>
      <c r="Q353" s="19"/>
      <c r="R353" s="16"/>
      <c r="S353" s="25"/>
      <c r="T353" s="22"/>
      <c r="U353" s="25"/>
      <c r="V353" s="22"/>
      <c r="W353" s="25"/>
    </row>
    <row r="354" spans="1:23" x14ac:dyDescent="0.2">
      <c r="A354" s="6"/>
      <c r="B354" s="19"/>
      <c r="C354" s="16"/>
      <c r="D354" s="19"/>
      <c r="E354" s="16"/>
      <c r="F354" s="19"/>
      <c r="G354" s="16"/>
      <c r="H354" s="22"/>
      <c r="I354" s="25"/>
      <c r="J354" s="22"/>
      <c r="K354" s="25"/>
      <c r="L354" s="22"/>
      <c r="M354" s="25"/>
      <c r="N354" s="19"/>
      <c r="O354" s="19"/>
      <c r="P354" s="16"/>
      <c r="Q354" s="19"/>
      <c r="R354" s="16"/>
      <c r="S354" s="25"/>
      <c r="T354" s="22"/>
      <c r="U354" s="25"/>
      <c r="V354" s="22"/>
      <c r="W354" s="25"/>
    </row>
    <row r="355" spans="1:23" x14ac:dyDescent="0.2">
      <c r="A355" s="6"/>
      <c r="B355" s="19"/>
      <c r="C355" s="16"/>
      <c r="D355" s="19"/>
      <c r="E355" s="16"/>
      <c r="F355" s="19"/>
      <c r="G355" s="16"/>
      <c r="H355" s="22"/>
      <c r="I355" s="25"/>
      <c r="J355" s="22"/>
      <c r="K355" s="25"/>
      <c r="L355" s="22"/>
      <c r="M355" s="25"/>
      <c r="N355" s="19"/>
      <c r="O355" s="19"/>
      <c r="P355" s="16"/>
      <c r="Q355" s="19"/>
      <c r="R355" s="16"/>
      <c r="S355" s="25"/>
      <c r="T355" s="22"/>
      <c r="U355" s="25"/>
      <c r="V355" s="22"/>
      <c r="W355" s="25"/>
    </row>
    <row r="356" spans="1:23" x14ac:dyDescent="0.2">
      <c r="A356" s="6"/>
      <c r="B356" s="19"/>
      <c r="C356" s="16"/>
      <c r="D356" s="19"/>
      <c r="E356" s="16"/>
      <c r="F356" s="19"/>
      <c r="G356" s="16"/>
      <c r="H356" s="22"/>
      <c r="I356" s="25"/>
      <c r="J356" s="22"/>
      <c r="K356" s="25"/>
      <c r="L356" s="22"/>
      <c r="M356" s="25"/>
      <c r="N356" s="19"/>
      <c r="O356" s="19"/>
      <c r="P356" s="16"/>
      <c r="Q356" s="19"/>
      <c r="R356" s="16"/>
      <c r="S356" s="25"/>
      <c r="T356" s="22"/>
      <c r="U356" s="25"/>
      <c r="V356" s="22"/>
      <c r="W356" s="25"/>
    </row>
    <row r="357" spans="1:23" x14ac:dyDescent="0.2">
      <c r="A357" s="6"/>
      <c r="B357" s="19"/>
      <c r="C357" s="16"/>
      <c r="D357" s="19"/>
      <c r="E357" s="16"/>
      <c r="F357" s="19"/>
      <c r="G357" s="16"/>
      <c r="H357" s="22"/>
      <c r="I357" s="25"/>
      <c r="J357" s="22"/>
      <c r="K357" s="25"/>
      <c r="L357" s="22"/>
      <c r="M357" s="25"/>
      <c r="N357" s="19"/>
      <c r="O357" s="19"/>
      <c r="P357" s="16"/>
      <c r="Q357" s="19"/>
      <c r="R357" s="16"/>
      <c r="S357" s="25"/>
      <c r="T357" s="22"/>
      <c r="U357" s="25"/>
      <c r="V357" s="22"/>
      <c r="W357" s="25"/>
    </row>
    <row r="358" spans="1:23" x14ac:dyDescent="0.2">
      <c r="A358" s="6"/>
      <c r="B358" s="19"/>
      <c r="C358" s="16"/>
      <c r="D358" s="19"/>
      <c r="E358" s="16"/>
      <c r="F358" s="19"/>
      <c r="G358" s="16"/>
      <c r="H358" s="22"/>
      <c r="I358" s="25"/>
      <c r="J358" s="22"/>
      <c r="K358" s="25"/>
      <c r="L358" s="22"/>
      <c r="M358" s="25"/>
      <c r="N358" s="19"/>
      <c r="O358" s="19"/>
      <c r="P358" s="16"/>
      <c r="Q358" s="19"/>
      <c r="R358" s="16"/>
      <c r="S358" s="25"/>
      <c r="T358" s="22"/>
      <c r="U358" s="25"/>
      <c r="V358" s="22"/>
      <c r="W358" s="25"/>
    </row>
    <row r="359" spans="1:23" x14ac:dyDescent="0.2">
      <c r="A359" s="6"/>
      <c r="B359" s="19"/>
      <c r="C359" s="16"/>
      <c r="D359" s="19"/>
      <c r="E359" s="16"/>
      <c r="F359" s="19"/>
      <c r="G359" s="16"/>
      <c r="H359" s="22"/>
      <c r="I359" s="25"/>
      <c r="J359" s="22"/>
      <c r="K359" s="25"/>
      <c r="L359" s="22"/>
      <c r="M359" s="25"/>
      <c r="N359" s="19"/>
      <c r="O359" s="19"/>
      <c r="P359" s="16"/>
      <c r="Q359" s="19"/>
      <c r="R359" s="16"/>
      <c r="S359" s="25"/>
      <c r="T359" s="22"/>
      <c r="U359" s="25"/>
      <c r="V359" s="22"/>
      <c r="W359" s="25"/>
    </row>
    <row r="360" spans="1:23" x14ac:dyDescent="0.2">
      <c r="A360" s="6"/>
      <c r="B360" s="19"/>
      <c r="C360" s="16"/>
      <c r="D360" s="19"/>
      <c r="E360" s="16"/>
      <c r="F360" s="19"/>
      <c r="G360" s="16"/>
      <c r="H360" s="22"/>
      <c r="I360" s="25"/>
      <c r="J360" s="22"/>
      <c r="K360" s="25"/>
      <c r="L360" s="22"/>
      <c r="M360" s="25"/>
      <c r="N360" s="19"/>
      <c r="O360" s="19"/>
      <c r="P360" s="16"/>
      <c r="Q360" s="19"/>
      <c r="R360" s="16"/>
      <c r="S360" s="25"/>
      <c r="T360" s="22"/>
      <c r="U360" s="25"/>
      <c r="V360" s="22"/>
      <c r="W360" s="25"/>
    </row>
    <row r="361" spans="1:23" x14ac:dyDescent="0.2">
      <c r="A361" s="6"/>
      <c r="B361" s="19"/>
      <c r="C361" s="16"/>
      <c r="D361" s="19"/>
      <c r="E361" s="16"/>
      <c r="F361" s="19"/>
      <c r="G361" s="16"/>
      <c r="H361" s="22"/>
      <c r="I361" s="25"/>
      <c r="J361" s="22"/>
      <c r="K361" s="25"/>
      <c r="L361" s="22"/>
      <c r="M361" s="25"/>
      <c r="N361" s="19"/>
      <c r="O361" s="19"/>
      <c r="P361" s="16"/>
      <c r="Q361" s="19"/>
      <c r="R361" s="16"/>
      <c r="S361" s="25"/>
      <c r="T361" s="22"/>
      <c r="U361" s="25"/>
      <c r="V361" s="22"/>
      <c r="W361" s="25"/>
    </row>
    <row r="362" spans="1:23" x14ac:dyDescent="0.2">
      <c r="A362" s="6"/>
      <c r="B362" s="19"/>
      <c r="C362" s="16"/>
      <c r="D362" s="19"/>
      <c r="E362" s="16"/>
      <c r="F362" s="19"/>
      <c r="G362" s="16"/>
      <c r="H362" s="22"/>
      <c r="I362" s="25"/>
      <c r="J362" s="22"/>
      <c r="K362" s="25"/>
      <c r="L362" s="22"/>
      <c r="M362" s="25"/>
      <c r="N362" s="19"/>
      <c r="O362" s="19"/>
      <c r="P362" s="16"/>
      <c r="Q362" s="19"/>
      <c r="R362" s="16"/>
      <c r="S362" s="25"/>
      <c r="T362" s="22"/>
      <c r="U362" s="25"/>
      <c r="V362" s="22"/>
      <c r="W362" s="25"/>
    </row>
    <row r="363" spans="1:23" x14ac:dyDescent="0.2">
      <c r="A363" s="6"/>
      <c r="B363" s="19"/>
      <c r="C363" s="16"/>
      <c r="D363" s="19"/>
      <c r="E363" s="16"/>
      <c r="F363" s="19"/>
      <c r="G363" s="16"/>
      <c r="H363" s="22"/>
      <c r="I363" s="25"/>
      <c r="J363" s="22"/>
      <c r="K363" s="25"/>
      <c r="L363" s="22"/>
      <c r="M363" s="25"/>
      <c r="N363" s="19"/>
      <c r="O363" s="19"/>
      <c r="P363" s="16"/>
      <c r="Q363" s="19"/>
      <c r="R363" s="16"/>
      <c r="S363" s="25"/>
      <c r="T363" s="22"/>
      <c r="U363" s="25"/>
      <c r="V363" s="22"/>
      <c r="W363" s="25"/>
    </row>
    <row r="364" spans="1:23" x14ac:dyDescent="0.2">
      <c r="A364" s="6"/>
      <c r="B364" s="19"/>
      <c r="C364" s="16"/>
      <c r="D364" s="19"/>
      <c r="E364" s="16"/>
      <c r="F364" s="19"/>
      <c r="G364" s="16"/>
      <c r="H364" s="22"/>
      <c r="I364" s="25"/>
      <c r="J364" s="22"/>
      <c r="K364" s="25"/>
      <c r="L364" s="22"/>
      <c r="M364" s="25"/>
      <c r="N364" s="19"/>
      <c r="O364" s="19"/>
      <c r="P364" s="16"/>
      <c r="Q364" s="19"/>
      <c r="R364" s="16"/>
      <c r="S364" s="25"/>
      <c r="T364" s="22"/>
      <c r="U364" s="25"/>
      <c r="V364" s="22"/>
      <c r="W364" s="25"/>
    </row>
    <row r="365" spans="1:23" x14ac:dyDescent="0.2">
      <c r="A365" s="6"/>
      <c r="B365" s="19"/>
      <c r="C365" s="16"/>
      <c r="D365" s="19"/>
      <c r="E365" s="16"/>
      <c r="F365" s="19"/>
      <c r="G365" s="16"/>
      <c r="H365" s="22"/>
      <c r="I365" s="25"/>
      <c r="J365" s="22"/>
      <c r="K365" s="25"/>
      <c r="L365" s="22"/>
      <c r="M365" s="25"/>
      <c r="N365" s="19"/>
      <c r="O365" s="19"/>
      <c r="P365" s="16"/>
      <c r="Q365" s="19"/>
      <c r="R365" s="16"/>
      <c r="S365" s="25"/>
      <c r="T365" s="22"/>
      <c r="U365" s="25"/>
      <c r="V365" s="22"/>
      <c r="W365" s="25"/>
    </row>
    <row r="366" spans="1:23" x14ac:dyDescent="0.2">
      <c r="A366" s="6"/>
      <c r="B366" s="19"/>
      <c r="C366" s="16"/>
      <c r="D366" s="19"/>
      <c r="E366" s="16"/>
      <c r="F366" s="19"/>
      <c r="G366" s="16"/>
      <c r="H366" s="22"/>
      <c r="I366" s="25"/>
      <c r="J366" s="22"/>
      <c r="K366" s="25"/>
      <c r="L366" s="22"/>
      <c r="M366" s="25"/>
      <c r="N366" s="19"/>
      <c r="O366" s="19"/>
      <c r="P366" s="16"/>
      <c r="Q366" s="19"/>
      <c r="R366" s="16"/>
      <c r="S366" s="25"/>
      <c r="T366" s="22"/>
      <c r="U366" s="25"/>
      <c r="V366" s="22"/>
      <c r="W366" s="25"/>
    </row>
    <row r="367" spans="1:23" x14ac:dyDescent="0.2">
      <c r="A367" s="6"/>
      <c r="B367" s="19"/>
      <c r="C367" s="16"/>
      <c r="D367" s="19"/>
      <c r="E367" s="16"/>
      <c r="F367" s="19"/>
      <c r="G367" s="16"/>
      <c r="H367" s="22"/>
      <c r="I367" s="25"/>
      <c r="J367" s="22"/>
      <c r="K367" s="25"/>
      <c r="L367" s="22"/>
      <c r="M367" s="25"/>
      <c r="N367" s="19"/>
      <c r="O367" s="19"/>
      <c r="P367" s="16"/>
      <c r="Q367" s="19"/>
      <c r="R367" s="16"/>
      <c r="S367" s="25"/>
      <c r="T367" s="22"/>
      <c r="U367" s="25"/>
      <c r="V367" s="22"/>
      <c r="W367" s="25"/>
    </row>
    <row r="368" spans="1:23" x14ac:dyDescent="0.2">
      <c r="A368" s="6"/>
      <c r="B368" s="19"/>
      <c r="C368" s="16"/>
      <c r="D368" s="19"/>
      <c r="E368" s="16"/>
      <c r="F368" s="19"/>
      <c r="G368" s="16"/>
      <c r="H368" s="22"/>
      <c r="I368" s="25"/>
      <c r="J368" s="22"/>
      <c r="K368" s="25"/>
      <c r="L368" s="22"/>
      <c r="M368" s="25"/>
      <c r="N368" s="19"/>
      <c r="O368" s="19"/>
      <c r="P368" s="16"/>
      <c r="Q368" s="19"/>
      <c r="R368" s="16"/>
      <c r="S368" s="25"/>
      <c r="T368" s="22"/>
      <c r="U368" s="25"/>
      <c r="V368" s="22"/>
      <c r="W368" s="25"/>
    </row>
    <row r="369" spans="1:23" x14ac:dyDescent="0.2">
      <c r="A369" s="6"/>
      <c r="B369" s="19"/>
      <c r="C369" s="16"/>
      <c r="D369" s="19"/>
      <c r="E369" s="16"/>
      <c r="F369" s="19"/>
      <c r="G369" s="16"/>
      <c r="H369" s="22"/>
      <c r="I369" s="25"/>
      <c r="J369" s="22"/>
      <c r="K369" s="25"/>
      <c r="L369" s="22"/>
      <c r="M369" s="25"/>
      <c r="N369" s="19"/>
      <c r="O369" s="19"/>
      <c r="P369" s="16"/>
      <c r="Q369" s="19"/>
      <c r="R369" s="16"/>
      <c r="S369" s="25"/>
      <c r="T369" s="22"/>
      <c r="U369" s="25"/>
      <c r="V369" s="22"/>
      <c r="W369" s="25"/>
    </row>
  </sheetData>
  <conditionalFormatting sqref="B1:W369">
    <cfRule type="cellIs" dxfId="5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D6B4-69B2-A247-BD87-E52B9E2C52FC}">
  <dimension ref="A1:AG58"/>
  <sheetViews>
    <sheetView zoomScale="69" workbookViewId="0"/>
  </sheetViews>
  <sheetFormatPr baseColWidth="10" defaultRowHeight="15" x14ac:dyDescent="0.2"/>
  <cols>
    <col min="1" max="1" width="20.33203125" customWidth="1"/>
    <col min="9" max="9" width="10.83203125" style="14"/>
    <col min="17" max="17" width="10.83203125" style="14"/>
    <col min="24" max="24" width="10.83203125" style="14"/>
    <col min="33" max="33" width="10.83203125" style="14"/>
  </cols>
  <sheetData>
    <row r="1" spans="1:33" s="7" customFormat="1" x14ac:dyDescent="0.2">
      <c r="A1" s="5" t="s">
        <v>73</v>
      </c>
      <c r="B1" s="5" t="s">
        <v>22</v>
      </c>
      <c r="C1" s="5" t="s">
        <v>13</v>
      </c>
      <c r="D1" s="5" t="s">
        <v>7</v>
      </c>
      <c r="E1" s="5" t="s">
        <v>6</v>
      </c>
      <c r="F1" s="5" t="s">
        <v>5</v>
      </c>
      <c r="G1" s="5" t="s">
        <v>4</v>
      </c>
      <c r="H1" s="5" t="s">
        <v>950</v>
      </c>
      <c r="I1" s="12" t="s">
        <v>954</v>
      </c>
      <c r="J1" s="5" t="s">
        <v>3</v>
      </c>
      <c r="K1" s="5" t="s">
        <v>2</v>
      </c>
      <c r="L1" s="5" t="s">
        <v>1</v>
      </c>
      <c r="M1" s="5" t="s">
        <v>21</v>
      </c>
      <c r="N1" s="5" t="s">
        <v>20</v>
      </c>
      <c r="O1" s="5" t="s">
        <v>19</v>
      </c>
      <c r="P1" s="5" t="s">
        <v>955</v>
      </c>
      <c r="Q1" s="12" t="s">
        <v>951</v>
      </c>
      <c r="R1" s="5" t="s">
        <v>18</v>
      </c>
      <c r="S1" s="5" t="s">
        <v>948</v>
      </c>
      <c r="T1" s="5" t="s">
        <v>17</v>
      </c>
      <c r="U1" s="5" t="s">
        <v>16</v>
      </c>
      <c r="V1" s="5" t="s">
        <v>15</v>
      </c>
      <c r="W1" s="5" t="s">
        <v>14</v>
      </c>
      <c r="X1" s="12" t="s">
        <v>956</v>
      </c>
      <c r="Y1" s="5" t="s">
        <v>952</v>
      </c>
      <c r="Z1" s="5" t="s">
        <v>949</v>
      </c>
      <c r="AA1" s="5" t="s">
        <v>12</v>
      </c>
      <c r="AB1" s="5" t="s">
        <v>11</v>
      </c>
      <c r="AC1" s="5" t="s">
        <v>10</v>
      </c>
      <c r="AD1" s="5" t="s">
        <v>9</v>
      </c>
      <c r="AE1" s="5" t="s">
        <v>8</v>
      </c>
      <c r="AF1" s="5" t="s">
        <v>957</v>
      </c>
      <c r="AG1" s="12" t="s">
        <v>953</v>
      </c>
    </row>
    <row r="2" spans="1:33" s="7" customFormat="1" x14ac:dyDescent="0.2">
      <c r="A2" s="5"/>
      <c r="B2" s="5"/>
      <c r="C2" s="5"/>
      <c r="D2" s="5"/>
      <c r="E2" s="5"/>
      <c r="F2" s="5"/>
      <c r="G2" s="5"/>
      <c r="H2" s="5"/>
      <c r="I2" s="12"/>
      <c r="J2" s="5"/>
      <c r="K2" s="5"/>
      <c r="L2" s="5"/>
      <c r="M2" s="5"/>
      <c r="N2" s="5"/>
      <c r="O2" s="5"/>
      <c r="P2" s="5"/>
      <c r="Q2" s="12"/>
      <c r="R2" s="5"/>
      <c r="S2" s="5"/>
      <c r="T2" s="5"/>
      <c r="U2" s="5"/>
      <c r="V2" s="5"/>
      <c r="W2" s="5"/>
      <c r="X2" s="12"/>
      <c r="Y2" s="5"/>
      <c r="Z2" s="5"/>
      <c r="AA2" s="5"/>
      <c r="AB2" s="5"/>
      <c r="AC2" s="5"/>
      <c r="AD2" s="5"/>
      <c r="AE2" s="5"/>
      <c r="AF2" s="5"/>
      <c r="AG2" s="12"/>
    </row>
    <row r="3" spans="1:33" x14ac:dyDescent="0.2">
      <c r="A3" s="6" t="s">
        <v>80</v>
      </c>
      <c r="B3" s="1">
        <v>2.5378126817917394E-2</v>
      </c>
      <c r="C3" s="1">
        <v>1.1163125675189059E-2</v>
      </c>
      <c r="D3" s="1">
        <v>5.3075146562444525E-2</v>
      </c>
      <c r="E3" s="1">
        <v>2.3360391264477125E-2</v>
      </c>
      <c r="F3" s="1">
        <v>3.3934252386002159E-2</v>
      </c>
      <c r="G3" s="1">
        <v>8.4375107621310775E-3</v>
      </c>
      <c r="H3" s="1">
        <f>AVERAGE(B3:G3)</f>
        <v>2.5891425578026896E-2</v>
      </c>
      <c r="I3" s="13">
        <f>AVERAGE(H3:H4)</f>
        <v>2.4590189374045748E-2</v>
      </c>
      <c r="J3" s="1">
        <v>9.7632923701436412E-3</v>
      </c>
      <c r="K3" s="1">
        <v>5.0226663919225199E-3</v>
      </c>
      <c r="L3" s="1">
        <v>1.8557525663244895E-2</v>
      </c>
      <c r="M3" s="1">
        <v>5.5497466420011314E-3</v>
      </c>
      <c r="N3" s="1">
        <v>2.4162014607874482E-2</v>
      </c>
      <c r="O3" s="1">
        <v>2.3139341536415035E-2</v>
      </c>
      <c r="P3" s="1">
        <f>AVERAGE(J3:O3)</f>
        <v>1.436576453526695E-2</v>
      </c>
      <c r="Q3" s="13">
        <f>AVERAGE(P3:P4)</f>
        <v>1.6876067278439565E-2</v>
      </c>
      <c r="R3" s="1">
        <v>3.9886925288215025E-2</v>
      </c>
      <c r="S3" s="1"/>
      <c r="T3" s="1">
        <v>1.357094333064757E-2</v>
      </c>
      <c r="U3" s="1">
        <v>2.3997361648193893E-2</v>
      </c>
      <c r="V3" s="1">
        <v>6.738904160772905E-3</v>
      </c>
      <c r="W3" s="1">
        <v>1.0297205044345101E-2</v>
      </c>
      <c r="X3" s="13">
        <f>AVERAGE(R3:W3)</f>
        <v>1.8898267894434898E-2</v>
      </c>
      <c r="Y3" s="1">
        <f>AVERAGE(X3:X4)</f>
        <v>1.3999501795880737E-2</v>
      </c>
      <c r="Z3" s="1"/>
      <c r="AA3" s="1">
        <v>3.793465449838019E-3</v>
      </c>
      <c r="AB3" s="1">
        <v>1.164451071572987E-2</v>
      </c>
      <c r="AC3" s="1">
        <v>6.3916475681181579E-3</v>
      </c>
      <c r="AD3" s="1">
        <v>2.4134954093174791E-2</v>
      </c>
      <c r="AE3" s="1">
        <v>3.3134143828559654E-3</v>
      </c>
      <c r="AF3" s="1">
        <f>AVERAGE(Z3:AE3)</f>
        <v>9.8555984419433605E-3</v>
      </c>
      <c r="AG3" s="13">
        <f>AVERAGE(AF3:AF4)</f>
        <v>9.8555984419433605E-3</v>
      </c>
    </row>
    <row r="4" spans="1:33" x14ac:dyDescent="0.2">
      <c r="A4" s="6"/>
      <c r="B4" s="1">
        <f>C3</f>
        <v>1.1163125675189059E-2</v>
      </c>
      <c r="C4" s="1">
        <f t="shared" ref="C4:AE4" si="0">D3</f>
        <v>5.3075146562444525E-2</v>
      </c>
      <c r="D4" s="1">
        <f>E3</f>
        <v>2.3360391264477125E-2</v>
      </c>
      <c r="E4" s="1">
        <f t="shared" si="0"/>
        <v>3.3934252386002159E-2</v>
      </c>
      <c r="F4" s="1">
        <f t="shared" si="0"/>
        <v>8.4375107621310775E-3</v>
      </c>
      <c r="G4" s="1">
        <f>J3</f>
        <v>9.7632923701436412E-3</v>
      </c>
      <c r="H4" s="1">
        <f t="shared" ref="H4:H58" si="1">AVERAGE(B4:G4)</f>
        <v>2.3288953170064599E-2</v>
      </c>
      <c r="I4" s="13"/>
      <c r="J4" s="1">
        <f t="shared" si="0"/>
        <v>5.0226663919225199E-3</v>
      </c>
      <c r="K4" s="1">
        <f t="shared" si="0"/>
        <v>1.8557525663244895E-2</v>
      </c>
      <c r="L4" s="1">
        <f t="shared" si="0"/>
        <v>5.5497466420011314E-3</v>
      </c>
      <c r="M4" s="1">
        <f t="shared" si="0"/>
        <v>2.4162014607874482E-2</v>
      </c>
      <c r="N4" s="1">
        <f t="shared" si="0"/>
        <v>2.3139341536415035E-2</v>
      </c>
      <c r="O4" s="1">
        <f>R3</f>
        <v>3.9886925288215025E-2</v>
      </c>
      <c r="P4" s="1">
        <f t="shared" ref="P4:P57" si="2">AVERAGE(J4:O4)</f>
        <v>1.9386370021612181E-2</v>
      </c>
      <c r="Q4" s="13"/>
      <c r="R4" s="1">
        <f t="shared" si="0"/>
        <v>0</v>
      </c>
      <c r="S4" s="1">
        <f t="shared" si="0"/>
        <v>1.357094333064757E-2</v>
      </c>
      <c r="T4" s="1">
        <f t="shared" si="0"/>
        <v>2.3997361648193893E-2</v>
      </c>
      <c r="U4" s="1">
        <f t="shared" si="0"/>
        <v>6.738904160772905E-3</v>
      </c>
      <c r="V4" s="1">
        <f t="shared" si="0"/>
        <v>1.0297205044345101E-2</v>
      </c>
      <c r="W4" s="1">
        <f>Z3</f>
        <v>0</v>
      </c>
      <c r="X4" s="13">
        <f t="shared" ref="X4:X58" si="3">AVERAGE(R4:W4)</f>
        <v>9.1007356973265788E-3</v>
      </c>
      <c r="Y4" s="1"/>
      <c r="Z4" s="1">
        <f t="shared" si="0"/>
        <v>3.793465449838019E-3</v>
      </c>
      <c r="AA4" s="1">
        <f t="shared" si="0"/>
        <v>1.164451071572987E-2</v>
      </c>
      <c r="AB4" s="1">
        <f t="shared" si="0"/>
        <v>6.3916475681181579E-3</v>
      </c>
      <c r="AC4" s="1">
        <f t="shared" si="0"/>
        <v>2.4134954093174791E-2</v>
      </c>
      <c r="AD4" s="1">
        <f t="shared" si="0"/>
        <v>3.3134143828559654E-3</v>
      </c>
      <c r="AE4" s="1">
        <f t="shared" si="0"/>
        <v>9.8555984419433605E-3</v>
      </c>
      <c r="AF4" s="1">
        <f t="shared" ref="AF4:AF58" si="4">AVERAGE(Z4:AE4)</f>
        <v>9.8555984419433588E-3</v>
      </c>
      <c r="AG4" s="13"/>
    </row>
    <row r="5" spans="1:33" x14ac:dyDescent="0.2">
      <c r="A5" s="6" t="s">
        <v>81</v>
      </c>
      <c r="B5" s="1">
        <v>4.2374001798085601E-3</v>
      </c>
      <c r="C5" s="1">
        <v>1.149552643971081E-3</v>
      </c>
      <c r="D5" s="1">
        <v>1.8660508083140882E-2</v>
      </c>
      <c r="E5" s="1">
        <v>6.8063716333254115E-3</v>
      </c>
      <c r="F5" s="1">
        <v>1.2839781197311502E-2</v>
      </c>
      <c r="G5" s="1">
        <v>1.8975789509935607E-2</v>
      </c>
      <c r="H5" s="1">
        <f t="shared" si="1"/>
        <v>1.0444900541248839E-2</v>
      </c>
      <c r="I5" s="13">
        <f>AVERAGE(H5:H6)</f>
        <v>1.0812936136938282E-2</v>
      </c>
      <c r="J5" s="1">
        <v>8.6538273280818631E-3</v>
      </c>
      <c r="K5" s="1">
        <v>2.8332989903152693E-4</v>
      </c>
      <c r="L5" s="1">
        <v>9.8653512864951354E-4</v>
      </c>
      <c r="M5" s="1">
        <v>1.6086222150727902E-4</v>
      </c>
      <c r="N5" s="1">
        <v>4.414332439810144E-3</v>
      </c>
      <c r="O5" s="1">
        <v>4.3964083804456265E-3</v>
      </c>
      <c r="P5" s="1">
        <f t="shared" si="2"/>
        <v>3.1492158995876586E-3</v>
      </c>
      <c r="Q5" s="13">
        <f>AVERAGE(P5:P6)</f>
        <v>3.1123688283458883E-3</v>
      </c>
      <c r="R5" s="1">
        <v>8.211662473180616E-3</v>
      </c>
      <c r="S5" s="1"/>
      <c r="T5" s="1">
        <v>1.5774839249885451E-2</v>
      </c>
      <c r="U5" s="1">
        <v>8.186650457184981E-3</v>
      </c>
      <c r="V5" s="1">
        <v>1.1155888868130985E-2</v>
      </c>
      <c r="W5" s="1">
        <v>1.0040131964181149E-2</v>
      </c>
      <c r="X5" s="13">
        <f t="shared" si="3"/>
        <v>1.0673834602512635E-2</v>
      </c>
      <c r="Y5" s="1">
        <f>AVERAGE(X5:X6)</f>
        <v>9.1000431795381989E-3</v>
      </c>
      <c r="Z5" s="1"/>
      <c r="AA5" s="1">
        <v>2.0609659489782115E-4</v>
      </c>
      <c r="AB5" s="1">
        <v>8.7760311362717214E-3</v>
      </c>
      <c r="AC5" s="1">
        <v>4.4626941685765214E-3</v>
      </c>
      <c r="AD5" s="1">
        <v>4.2787555689988736E-3</v>
      </c>
      <c r="AE5" s="1">
        <v>4.4508551411498042E-4</v>
      </c>
      <c r="AF5" s="1">
        <f t="shared" si="4"/>
        <v>3.6337325965719843E-3</v>
      </c>
      <c r="AG5" s="13">
        <f>AVERAGE(AF5:AF6)</f>
        <v>3.6337325965719843E-3</v>
      </c>
    </row>
    <row r="6" spans="1:33" x14ac:dyDescent="0.2">
      <c r="A6" s="6"/>
      <c r="B6" s="1">
        <f>C5</f>
        <v>1.149552643971081E-3</v>
      </c>
      <c r="C6" s="1">
        <f t="shared" ref="C6:AE6" si="5">D5</f>
        <v>1.8660508083140882E-2</v>
      </c>
      <c r="D6" s="1">
        <f t="shared" si="5"/>
        <v>6.8063716333254115E-3</v>
      </c>
      <c r="E6" s="1">
        <f t="shared" si="5"/>
        <v>1.2839781197311502E-2</v>
      </c>
      <c r="F6" s="1">
        <f t="shared" si="5"/>
        <v>1.8975789509935607E-2</v>
      </c>
      <c r="G6" s="1">
        <f>J5</f>
        <v>8.6538273280818631E-3</v>
      </c>
      <c r="H6" s="1">
        <f t="shared" si="1"/>
        <v>1.1180971732627725E-2</v>
      </c>
      <c r="I6" s="13"/>
      <c r="J6" s="1">
        <f t="shared" si="5"/>
        <v>2.8332989903152693E-4</v>
      </c>
      <c r="K6" s="1">
        <f t="shared" si="5"/>
        <v>9.8653512864951354E-4</v>
      </c>
      <c r="L6" s="1">
        <f t="shared" si="5"/>
        <v>1.6086222150727902E-4</v>
      </c>
      <c r="M6" s="1">
        <f t="shared" si="5"/>
        <v>4.414332439810144E-3</v>
      </c>
      <c r="N6" s="1">
        <f t="shared" si="5"/>
        <v>4.3964083804456265E-3</v>
      </c>
      <c r="O6" s="1">
        <f>R5</f>
        <v>8.211662473180616E-3</v>
      </c>
      <c r="P6" s="1">
        <f t="shared" si="2"/>
        <v>3.075521757104118E-3</v>
      </c>
      <c r="Q6" s="13"/>
      <c r="R6" s="1">
        <f t="shared" si="5"/>
        <v>0</v>
      </c>
      <c r="S6" s="1">
        <f t="shared" si="5"/>
        <v>1.5774839249885451E-2</v>
      </c>
      <c r="T6" s="1">
        <f t="shared" si="5"/>
        <v>8.186650457184981E-3</v>
      </c>
      <c r="U6" s="1">
        <f t="shared" si="5"/>
        <v>1.1155888868130985E-2</v>
      </c>
      <c r="V6" s="1">
        <f t="shared" si="5"/>
        <v>1.0040131964181149E-2</v>
      </c>
      <c r="W6" s="1">
        <f>Z5</f>
        <v>0</v>
      </c>
      <c r="X6" s="13">
        <f t="shared" si="3"/>
        <v>7.5262517565637607E-3</v>
      </c>
      <c r="Y6" s="1"/>
      <c r="Z6" s="1">
        <f t="shared" si="5"/>
        <v>2.0609659489782115E-4</v>
      </c>
      <c r="AA6" s="1">
        <f t="shared" si="5"/>
        <v>8.7760311362717214E-3</v>
      </c>
      <c r="AB6" s="1">
        <f t="shared" si="5"/>
        <v>4.4626941685765214E-3</v>
      </c>
      <c r="AC6" s="1">
        <f t="shared" si="5"/>
        <v>4.2787555689988736E-3</v>
      </c>
      <c r="AD6" s="1">
        <f t="shared" si="5"/>
        <v>4.4508551411498042E-4</v>
      </c>
      <c r="AE6" s="1">
        <f t="shared" si="5"/>
        <v>3.6337325965719843E-3</v>
      </c>
      <c r="AF6" s="1">
        <f t="shared" si="4"/>
        <v>3.6337325965719838E-3</v>
      </c>
      <c r="AG6" s="13"/>
    </row>
    <row r="7" spans="1:33" x14ac:dyDescent="0.2">
      <c r="A7" s="6" t="s">
        <v>82</v>
      </c>
      <c r="B7" s="1">
        <v>1.3089005235602094E-2</v>
      </c>
      <c r="C7" s="1">
        <v>1.3593806265754411E-2</v>
      </c>
      <c r="D7" s="1">
        <v>1.4290282465802093E-2</v>
      </c>
      <c r="E7" s="1">
        <v>4.809292531331724E-3</v>
      </c>
      <c r="F7" s="1">
        <v>1.1046941873860402E-2</v>
      </c>
      <c r="G7" s="1">
        <v>4.5717532802975504E-3</v>
      </c>
      <c r="H7" s="1">
        <f t="shared" si="1"/>
        <v>1.0233513608774711E-2</v>
      </c>
      <c r="I7" s="13">
        <f>AVERAGE(H7:H8)</f>
        <v>9.3200600370393107E-3</v>
      </c>
      <c r="J7" s="1">
        <v>2.1275623747772916E-3</v>
      </c>
      <c r="K7" s="1">
        <v>4.2563878013599839E-3</v>
      </c>
      <c r="L7" s="1">
        <v>2.0330622583655516E-3</v>
      </c>
      <c r="M7" s="1">
        <v>8.3112147778760818E-4</v>
      </c>
      <c r="N7" s="1">
        <v>2.089737599291739E-2</v>
      </c>
      <c r="O7" s="1">
        <v>2.4429664117060199E-2</v>
      </c>
      <c r="P7" s="1">
        <f t="shared" si="2"/>
        <v>9.0958623370446714E-3</v>
      </c>
      <c r="Q7" s="13">
        <f>AVERAGE(P7:P8)</f>
        <v>9.7751920769116457E-3</v>
      </c>
      <c r="R7" s="1">
        <v>1.0279519253180972E-2</v>
      </c>
      <c r="S7" s="1"/>
      <c r="T7" s="1">
        <v>2.0538098172109259E-3</v>
      </c>
      <c r="U7" s="1">
        <v>4.235589296568849E-3</v>
      </c>
      <c r="V7" s="1">
        <v>2.8023165817075446E-3</v>
      </c>
      <c r="W7" s="1">
        <v>3.2991045287707613E-3</v>
      </c>
      <c r="X7" s="13">
        <f t="shared" si="3"/>
        <v>4.5340678954878108E-3</v>
      </c>
      <c r="Y7" s="1">
        <f>AVERAGE(X7:X8)</f>
        <v>3.2996022997654121E-3</v>
      </c>
      <c r="Z7" s="1"/>
      <c r="AA7" s="1">
        <v>1.1013286789852319E-3</v>
      </c>
      <c r="AB7" s="1">
        <v>7.6008390618681762E-3</v>
      </c>
      <c r="AC7" s="1">
        <v>4.2844410491469313E-3</v>
      </c>
      <c r="AD7" s="1">
        <v>6.3771732486404388E-3</v>
      </c>
      <c r="AE7" s="1">
        <v>2.3737894086132286E-3</v>
      </c>
      <c r="AF7" s="1">
        <f t="shared" si="4"/>
        <v>4.3475142894508012E-3</v>
      </c>
      <c r="AG7" s="13">
        <f>AVERAGE(AF7:AF8)</f>
        <v>4.3475142894508012E-3</v>
      </c>
    </row>
    <row r="8" spans="1:33" x14ac:dyDescent="0.2">
      <c r="A8" s="6"/>
      <c r="B8" s="1">
        <f>C7</f>
        <v>1.3593806265754411E-2</v>
      </c>
      <c r="C8" s="1">
        <f t="shared" ref="C8:AD8" si="6">D7</f>
        <v>1.4290282465802093E-2</v>
      </c>
      <c r="D8" s="1">
        <f t="shared" si="6"/>
        <v>4.809292531331724E-3</v>
      </c>
      <c r="E8" s="1">
        <f t="shared" si="6"/>
        <v>1.1046941873860402E-2</v>
      </c>
      <c r="F8" s="1">
        <f t="shared" si="6"/>
        <v>4.5717532802975504E-3</v>
      </c>
      <c r="G8" s="1">
        <f>J7</f>
        <v>2.1275623747772916E-3</v>
      </c>
      <c r="H8" s="1">
        <f t="shared" si="1"/>
        <v>8.4066064653039105E-3</v>
      </c>
      <c r="I8" s="13"/>
      <c r="J8" s="1">
        <f t="shared" si="6"/>
        <v>4.2563878013599839E-3</v>
      </c>
      <c r="K8" s="1">
        <f t="shared" si="6"/>
        <v>2.0330622583655516E-3</v>
      </c>
      <c r="L8" s="1">
        <f t="shared" si="6"/>
        <v>8.3112147778760818E-4</v>
      </c>
      <c r="M8" s="1">
        <f t="shared" si="6"/>
        <v>2.089737599291739E-2</v>
      </c>
      <c r="N8" s="1">
        <f t="shared" si="6"/>
        <v>2.4429664117060199E-2</v>
      </c>
      <c r="O8" s="1">
        <f>R7</f>
        <v>1.0279519253180972E-2</v>
      </c>
      <c r="P8" s="1">
        <f t="shared" si="2"/>
        <v>1.0454521816778618E-2</v>
      </c>
      <c r="Q8" s="13"/>
      <c r="R8" s="1">
        <f t="shared" si="6"/>
        <v>0</v>
      </c>
      <c r="S8" s="1">
        <f t="shared" si="6"/>
        <v>2.0538098172109259E-3</v>
      </c>
      <c r="T8" s="1">
        <f t="shared" si="6"/>
        <v>4.235589296568849E-3</v>
      </c>
      <c r="U8" s="1">
        <f t="shared" si="6"/>
        <v>2.8023165817075446E-3</v>
      </c>
      <c r="V8" s="1">
        <f t="shared" si="6"/>
        <v>3.2991045287707613E-3</v>
      </c>
      <c r="W8" s="1">
        <f>Z7</f>
        <v>0</v>
      </c>
      <c r="X8" s="13">
        <f t="shared" si="3"/>
        <v>2.0651367040430135E-3</v>
      </c>
      <c r="Y8" s="1"/>
      <c r="Z8" s="1">
        <f t="shared" si="6"/>
        <v>1.1013286789852319E-3</v>
      </c>
      <c r="AA8" s="1">
        <f t="shared" si="6"/>
        <v>7.6008390618681762E-3</v>
      </c>
      <c r="AB8" s="1">
        <f t="shared" si="6"/>
        <v>4.2844410491469313E-3</v>
      </c>
      <c r="AC8" s="1">
        <f t="shared" si="6"/>
        <v>6.3771732486404388E-3</v>
      </c>
      <c r="AD8" s="1">
        <f t="shared" si="6"/>
        <v>2.3737894086132286E-3</v>
      </c>
      <c r="AE8" s="1">
        <f>AF7</f>
        <v>4.3475142894508012E-3</v>
      </c>
      <c r="AF8" s="1">
        <f t="shared" si="4"/>
        <v>4.3475142894508012E-3</v>
      </c>
      <c r="AG8" s="13"/>
    </row>
    <row r="9" spans="1:33" x14ac:dyDescent="0.2">
      <c r="A9" s="6" t="s">
        <v>90</v>
      </c>
      <c r="B9" s="1">
        <v>1.7432175154688243E-2</v>
      </c>
      <c r="C9" s="1">
        <v>1.2845904545580458E-2</v>
      </c>
      <c r="D9" s="1">
        <v>2.3982945461005521E-2</v>
      </c>
      <c r="E9" s="1">
        <v>7.2275243691199966E-3</v>
      </c>
      <c r="F9" s="1">
        <v>1.5883793495426349E-2</v>
      </c>
      <c r="G9" s="1">
        <v>1.0564107862382479E-2</v>
      </c>
      <c r="H9" s="1">
        <f t="shared" si="1"/>
        <v>1.465607514803384E-2</v>
      </c>
      <c r="I9" s="13">
        <f>AVERAGE(H9:H10)</f>
        <v>1.3947388089819875E-2</v>
      </c>
      <c r="J9" s="1">
        <v>8.9279304561206575E-3</v>
      </c>
      <c r="K9" s="1">
        <v>1.7321759736245612E-2</v>
      </c>
      <c r="L9" s="1">
        <v>1.8570857219037454E-2</v>
      </c>
      <c r="M9" s="1">
        <v>1.1019062173248611E-2</v>
      </c>
      <c r="N9" s="1">
        <v>2.6596660354622128E-2</v>
      </c>
      <c r="O9" s="1">
        <v>2.5194546059195216E-2</v>
      </c>
      <c r="P9" s="1">
        <f t="shared" si="2"/>
        <v>1.7938469333078279E-2</v>
      </c>
      <c r="Q9" s="13">
        <f>AVERAGE(P9:P10)</f>
        <v>1.8143736935405573E-2</v>
      </c>
      <c r="R9" s="1">
        <v>1.1391141684048216E-2</v>
      </c>
      <c r="S9" s="1"/>
      <c r="T9" s="1">
        <v>5.332006256220676E-3</v>
      </c>
      <c r="U9" s="1">
        <v>9.2600975155520439E-3</v>
      </c>
      <c r="V9" s="1">
        <v>2.0870586351383818E-2</v>
      </c>
      <c r="W9" s="1">
        <v>1.6409831617132487E-2</v>
      </c>
      <c r="X9" s="13">
        <f t="shared" si="3"/>
        <v>1.2652732684867449E-2</v>
      </c>
      <c r="Y9" s="1">
        <f>AVERAGE(X9:X10)</f>
        <v>1.0649076487457811E-2</v>
      </c>
      <c r="Z9" s="1"/>
      <c r="AA9" s="1">
        <v>1.0349913375024954E-2</v>
      </c>
      <c r="AB9" s="1">
        <v>3.8048422968054912E-2</v>
      </c>
      <c r="AC9" s="1">
        <v>1.7729819200407441E-2</v>
      </c>
      <c r="AD9" s="1">
        <v>9.9627578123523061E-3</v>
      </c>
      <c r="AE9" s="1">
        <v>1.9015042241912226E-2</v>
      </c>
      <c r="AF9" s="1">
        <f t="shared" si="4"/>
        <v>1.9021191119550369E-2</v>
      </c>
      <c r="AG9" s="13">
        <f>AVERAGE(AF9:AF10)</f>
        <v>1.9021191119550369E-2</v>
      </c>
    </row>
    <row r="10" spans="1:33" x14ac:dyDescent="0.2">
      <c r="A10" s="6"/>
      <c r="B10" s="1">
        <f>C9</f>
        <v>1.2845904545580458E-2</v>
      </c>
      <c r="C10" s="1">
        <f t="shared" ref="C10:AE10" si="7">D9</f>
        <v>2.3982945461005521E-2</v>
      </c>
      <c r="D10" s="1">
        <f t="shared" si="7"/>
        <v>7.2275243691199966E-3</v>
      </c>
      <c r="E10" s="1">
        <f t="shared" si="7"/>
        <v>1.5883793495426349E-2</v>
      </c>
      <c r="F10" s="1">
        <f t="shared" si="7"/>
        <v>1.0564107862382479E-2</v>
      </c>
      <c r="G10" s="1">
        <f>J9</f>
        <v>8.9279304561206575E-3</v>
      </c>
      <c r="H10" s="1">
        <f t="shared" si="1"/>
        <v>1.3238701031605909E-2</v>
      </c>
      <c r="I10" s="13"/>
      <c r="J10" s="1">
        <f t="shared" si="7"/>
        <v>1.7321759736245612E-2</v>
      </c>
      <c r="K10" s="1">
        <f t="shared" si="7"/>
        <v>1.8570857219037454E-2</v>
      </c>
      <c r="L10" s="1">
        <f t="shared" si="7"/>
        <v>1.1019062173248611E-2</v>
      </c>
      <c r="M10" s="1">
        <f t="shared" si="7"/>
        <v>2.6596660354622128E-2</v>
      </c>
      <c r="N10" s="1">
        <f t="shared" si="7"/>
        <v>2.5194546059195216E-2</v>
      </c>
      <c r="O10" s="1">
        <f>R9</f>
        <v>1.1391141684048216E-2</v>
      </c>
      <c r="P10" s="1">
        <f t="shared" si="2"/>
        <v>1.8349004537732871E-2</v>
      </c>
      <c r="Q10" s="13"/>
      <c r="R10" s="1">
        <f t="shared" si="7"/>
        <v>0</v>
      </c>
      <c r="S10" s="1">
        <f t="shared" si="7"/>
        <v>5.332006256220676E-3</v>
      </c>
      <c r="T10" s="1">
        <f t="shared" si="7"/>
        <v>9.2600975155520439E-3</v>
      </c>
      <c r="U10" s="1">
        <f t="shared" si="7"/>
        <v>2.0870586351383818E-2</v>
      </c>
      <c r="V10" s="1">
        <f t="shared" si="7"/>
        <v>1.6409831617132487E-2</v>
      </c>
      <c r="W10" s="1">
        <f>Z9</f>
        <v>0</v>
      </c>
      <c r="X10" s="13">
        <f t="shared" si="3"/>
        <v>8.6454202900481721E-3</v>
      </c>
      <c r="Y10" s="1"/>
      <c r="Z10" s="1">
        <f t="shared" si="7"/>
        <v>1.0349913375024954E-2</v>
      </c>
      <c r="AA10" s="1">
        <f t="shared" si="7"/>
        <v>3.8048422968054912E-2</v>
      </c>
      <c r="AB10" s="1">
        <f t="shared" si="7"/>
        <v>1.7729819200407441E-2</v>
      </c>
      <c r="AC10" s="1">
        <f t="shared" si="7"/>
        <v>9.9627578123523061E-3</v>
      </c>
      <c r="AD10" s="1">
        <f t="shared" si="7"/>
        <v>1.9015042241912226E-2</v>
      </c>
      <c r="AE10" s="1">
        <f t="shared" si="7"/>
        <v>1.9021191119550369E-2</v>
      </c>
      <c r="AF10" s="1">
        <f t="shared" si="4"/>
        <v>1.9021191119550366E-2</v>
      </c>
      <c r="AG10" s="13"/>
    </row>
    <row r="11" spans="1:33" x14ac:dyDescent="0.2">
      <c r="A11" s="6" t="s">
        <v>91</v>
      </c>
      <c r="B11" s="1">
        <v>4.9586175895076468E-2</v>
      </c>
      <c r="C11" s="1">
        <v>0.10841112434558606</v>
      </c>
      <c r="D11" s="1">
        <v>3.5651092556404335E-2</v>
      </c>
      <c r="E11" s="1">
        <v>4.60890534252624E-2</v>
      </c>
      <c r="F11" s="1">
        <v>5.8454191048009946E-2</v>
      </c>
      <c r="G11" s="1">
        <v>3.3018218135482315E-2</v>
      </c>
      <c r="H11" s="1">
        <f t="shared" si="1"/>
        <v>5.5201642567636926E-2</v>
      </c>
      <c r="I11" s="13">
        <f>AVERAGE(H11:H12)</f>
        <v>5.2881043623002014E-2</v>
      </c>
      <c r="J11" s="1">
        <v>2.173898855945754E-2</v>
      </c>
      <c r="K11" s="1">
        <v>7.5526736039563128E-2</v>
      </c>
      <c r="L11" s="1">
        <v>7.3463538194907391E-2</v>
      </c>
      <c r="M11" s="1">
        <v>6.3031180460602104E-2</v>
      </c>
      <c r="N11" s="1">
        <v>3.4257187123429164E-2</v>
      </c>
      <c r="O11" s="1">
        <v>3.2723644828732974E-2</v>
      </c>
      <c r="P11" s="1">
        <f t="shared" si="2"/>
        <v>5.0123545867782053E-2</v>
      </c>
      <c r="Q11" s="13">
        <f>AVERAGE(P11:P12)</f>
        <v>5.3522942651879221E-2</v>
      </c>
      <c r="R11" s="1">
        <v>6.2531749968623568E-2</v>
      </c>
      <c r="S11" s="1"/>
      <c r="T11" s="1">
        <v>3.5372924467194332E-2</v>
      </c>
      <c r="U11" s="1">
        <v>5.3336092394045589E-2</v>
      </c>
      <c r="V11" s="1">
        <v>4.595799194000371E-2</v>
      </c>
      <c r="W11" s="1">
        <v>4.762992901926618E-2</v>
      </c>
      <c r="X11" s="13">
        <f t="shared" si="3"/>
        <v>4.8965737557826676E-2</v>
      </c>
      <c r="Y11" s="1">
        <f>AVERAGE(X11:X12)</f>
        <v>3.9674280263955822E-2</v>
      </c>
      <c r="Z11" s="1"/>
      <c r="AA11" s="1">
        <v>6.7245454604004704E-2</v>
      </c>
      <c r="AB11" s="1">
        <v>4.8410331581075515E-2</v>
      </c>
      <c r="AC11" s="1">
        <v>3.7808759867583377E-2</v>
      </c>
      <c r="AD11" s="1">
        <v>5.0815736242130961E-2</v>
      </c>
      <c r="AE11" s="1">
        <v>8.3972800329692981E-2</v>
      </c>
      <c r="AF11" s="1">
        <f t="shared" si="4"/>
        <v>5.7650616524897502E-2</v>
      </c>
      <c r="AG11" s="13">
        <f>AVERAGE(AF11:AF12)</f>
        <v>5.7650616524897502E-2</v>
      </c>
    </row>
    <row r="12" spans="1:33" x14ac:dyDescent="0.2">
      <c r="A12" s="6"/>
      <c r="B12" s="11">
        <f>C11</f>
        <v>0.10841112434558606</v>
      </c>
      <c r="C12" s="11">
        <f t="shared" ref="C12:AE12" si="8">D11</f>
        <v>3.5651092556404335E-2</v>
      </c>
      <c r="D12" s="11">
        <f t="shared" si="8"/>
        <v>4.60890534252624E-2</v>
      </c>
      <c r="E12" s="11">
        <f t="shared" si="8"/>
        <v>5.8454191048009946E-2</v>
      </c>
      <c r="F12" s="11">
        <f t="shared" si="8"/>
        <v>3.3018218135482315E-2</v>
      </c>
      <c r="G12" s="11">
        <f>J11</f>
        <v>2.173898855945754E-2</v>
      </c>
      <c r="H12" s="1">
        <f t="shared" si="1"/>
        <v>5.0560444678367102E-2</v>
      </c>
      <c r="I12" s="13"/>
      <c r="J12" s="11">
        <f t="shared" si="8"/>
        <v>7.5526736039563128E-2</v>
      </c>
      <c r="K12" s="11">
        <f t="shared" si="8"/>
        <v>7.3463538194907391E-2</v>
      </c>
      <c r="L12" s="11">
        <f t="shared" si="8"/>
        <v>6.3031180460602104E-2</v>
      </c>
      <c r="M12" s="11">
        <f t="shared" si="8"/>
        <v>3.4257187123429164E-2</v>
      </c>
      <c r="N12" s="11">
        <f t="shared" si="8"/>
        <v>3.2723644828732974E-2</v>
      </c>
      <c r="O12" s="11">
        <f>R11</f>
        <v>6.2531749968623568E-2</v>
      </c>
      <c r="P12" s="1">
        <f t="shared" si="2"/>
        <v>5.6922339435976389E-2</v>
      </c>
      <c r="Q12" s="13"/>
      <c r="R12" s="11">
        <f t="shared" si="8"/>
        <v>0</v>
      </c>
      <c r="S12" s="11">
        <f t="shared" si="8"/>
        <v>3.5372924467194332E-2</v>
      </c>
      <c r="T12" s="11">
        <f t="shared" si="8"/>
        <v>5.3336092394045589E-2</v>
      </c>
      <c r="U12" s="11">
        <f t="shared" si="8"/>
        <v>4.595799194000371E-2</v>
      </c>
      <c r="V12" s="11">
        <f t="shared" si="8"/>
        <v>4.762992901926618E-2</v>
      </c>
      <c r="W12" s="11">
        <f>Z11</f>
        <v>0</v>
      </c>
      <c r="X12" s="13">
        <f t="shared" si="3"/>
        <v>3.0382822970084971E-2</v>
      </c>
      <c r="Y12" s="1"/>
      <c r="Z12" s="11">
        <f t="shared" si="8"/>
        <v>6.7245454604004704E-2</v>
      </c>
      <c r="AA12" s="11">
        <f t="shared" si="8"/>
        <v>4.8410331581075515E-2</v>
      </c>
      <c r="AB12" s="11">
        <f t="shared" si="8"/>
        <v>3.7808759867583377E-2</v>
      </c>
      <c r="AC12" s="11">
        <f t="shared" si="8"/>
        <v>5.0815736242130961E-2</v>
      </c>
      <c r="AD12" s="11">
        <f t="shared" si="8"/>
        <v>8.3972800329692981E-2</v>
      </c>
      <c r="AE12" s="11">
        <f t="shared" si="8"/>
        <v>5.7650616524897502E-2</v>
      </c>
      <c r="AF12" s="1">
        <f t="shared" si="4"/>
        <v>5.7650616524897502E-2</v>
      </c>
      <c r="AG12" s="13"/>
    </row>
    <row r="13" spans="1:33" x14ac:dyDescent="0.2">
      <c r="A13" s="6" t="s">
        <v>26</v>
      </c>
      <c r="B13" s="1">
        <v>0.12521153947855526</v>
      </c>
      <c r="C13" s="1">
        <v>0.13120827677903657</v>
      </c>
      <c r="D13" s="1">
        <v>8.9841890211405206E-2</v>
      </c>
      <c r="E13" s="1">
        <v>0.15996331895526991</v>
      </c>
      <c r="F13" s="1">
        <v>0.10829512423995064</v>
      </c>
      <c r="G13" s="1">
        <v>9.5567723938423471E-2</v>
      </c>
      <c r="H13" s="1">
        <f t="shared" si="1"/>
        <v>0.11834797893377352</v>
      </c>
      <c r="I13" s="13">
        <f>AVERAGE(H13:H14)</f>
        <v>0.1211201249656518</v>
      </c>
      <c r="J13" s="1">
        <v>0.15847729186109483</v>
      </c>
      <c r="K13" s="1">
        <v>0.12798140325571808</v>
      </c>
      <c r="L13" s="1">
        <v>0.14162778296227191</v>
      </c>
      <c r="M13" s="1">
        <v>0.13442719643958287</v>
      </c>
      <c r="N13" s="1">
        <v>0.14818139340432313</v>
      </c>
      <c r="O13" s="1">
        <v>0.10742933155969416</v>
      </c>
      <c r="P13" s="1">
        <f t="shared" si="2"/>
        <v>0.13635406658044749</v>
      </c>
      <c r="Q13" s="13">
        <f>AVERAGE(P13:P14)</f>
        <v>0.13209688341471715</v>
      </c>
      <c r="R13" s="1">
        <v>0.10739109387233077</v>
      </c>
      <c r="S13" s="1"/>
      <c r="T13" s="1">
        <v>9.7224197039354032E-2</v>
      </c>
      <c r="U13" s="1">
        <v>0.141934274000595</v>
      </c>
      <c r="V13" s="1">
        <v>9.654647842216231E-2</v>
      </c>
      <c r="W13" s="1">
        <v>0.12088861594710094</v>
      </c>
      <c r="X13" s="13">
        <f t="shared" si="3"/>
        <v>0.11279693185630861</v>
      </c>
      <c r="Y13" s="1">
        <f>AVERAGE(X13:X14)</f>
        <v>9.4447929712255324E-2</v>
      </c>
      <c r="Z13" s="1"/>
      <c r="AA13" s="1">
        <v>0.13262315881674783</v>
      </c>
      <c r="AB13" s="1">
        <v>0.12347098665588406</v>
      </c>
      <c r="AC13" s="1">
        <v>9.8287496816908473E-2</v>
      </c>
      <c r="AD13" s="1">
        <v>8.9589201656048528E-2</v>
      </c>
      <c r="AE13" s="1">
        <v>9.9979394189161255E-2</v>
      </c>
      <c r="AF13" s="1">
        <f t="shared" si="4"/>
        <v>0.10879004762695002</v>
      </c>
      <c r="AG13" s="13">
        <f>AVERAGE(AF13:AF14)</f>
        <v>0.10879004762695002</v>
      </c>
    </row>
    <row r="14" spans="1:33" x14ac:dyDescent="0.2">
      <c r="A14" s="6"/>
      <c r="B14" s="11">
        <f>C13</f>
        <v>0.13120827677903657</v>
      </c>
      <c r="C14" s="11">
        <f t="shared" ref="C14:AE14" si="9">D13</f>
        <v>8.9841890211405206E-2</v>
      </c>
      <c r="D14" s="11">
        <f t="shared" si="9"/>
        <v>0.15996331895526991</v>
      </c>
      <c r="E14" s="11">
        <f t="shared" si="9"/>
        <v>0.10829512423995064</v>
      </c>
      <c r="F14" s="11">
        <f t="shared" si="9"/>
        <v>9.5567723938423471E-2</v>
      </c>
      <c r="G14" s="11">
        <f>J13</f>
        <v>0.15847729186109483</v>
      </c>
      <c r="H14" s="1">
        <f t="shared" si="1"/>
        <v>0.1238922709975301</v>
      </c>
      <c r="I14" s="13"/>
      <c r="J14" s="11">
        <f t="shared" si="9"/>
        <v>0.12798140325571808</v>
      </c>
      <c r="K14" s="11">
        <f t="shared" si="9"/>
        <v>0.14162778296227191</v>
      </c>
      <c r="L14" s="11">
        <f t="shared" si="9"/>
        <v>0.13442719643958287</v>
      </c>
      <c r="M14" s="11">
        <f t="shared" si="9"/>
        <v>0.14818139340432313</v>
      </c>
      <c r="N14" s="11">
        <f t="shared" si="9"/>
        <v>0.10742933155969416</v>
      </c>
      <c r="O14" s="11">
        <f>R13</f>
        <v>0.10739109387233077</v>
      </c>
      <c r="P14" s="1">
        <f t="shared" si="2"/>
        <v>0.12783970024898683</v>
      </c>
      <c r="Q14" s="13"/>
      <c r="R14" s="11">
        <f t="shared" si="9"/>
        <v>0</v>
      </c>
      <c r="S14" s="11">
        <f t="shared" si="9"/>
        <v>9.7224197039354032E-2</v>
      </c>
      <c r="T14" s="11">
        <f t="shared" si="9"/>
        <v>0.141934274000595</v>
      </c>
      <c r="U14" s="11">
        <f t="shared" si="9"/>
        <v>9.654647842216231E-2</v>
      </c>
      <c r="V14" s="11">
        <f t="shared" si="9"/>
        <v>0.12088861594710094</v>
      </c>
      <c r="W14" s="11">
        <f>Z13</f>
        <v>0</v>
      </c>
      <c r="X14" s="13">
        <f t="shared" si="3"/>
        <v>7.6098927568202038E-2</v>
      </c>
      <c r="Y14" s="1"/>
      <c r="Z14" s="11">
        <f t="shared" si="9"/>
        <v>0.13262315881674783</v>
      </c>
      <c r="AA14" s="11">
        <f t="shared" si="9"/>
        <v>0.12347098665588406</v>
      </c>
      <c r="AB14" s="11">
        <f t="shared" si="9"/>
        <v>9.8287496816908473E-2</v>
      </c>
      <c r="AC14" s="11">
        <f t="shared" si="9"/>
        <v>8.9589201656048528E-2</v>
      </c>
      <c r="AD14" s="11">
        <f t="shared" si="9"/>
        <v>9.9979394189161255E-2</v>
      </c>
      <c r="AE14" s="11">
        <f t="shared" si="9"/>
        <v>0.10879004762695002</v>
      </c>
      <c r="AF14" s="1">
        <f t="shared" si="4"/>
        <v>0.10879004762695001</v>
      </c>
      <c r="AG14" s="13"/>
    </row>
    <row r="15" spans="1:33" x14ac:dyDescent="0.2">
      <c r="A15" s="6" t="s">
        <v>92</v>
      </c>
      <c r="B15" s="1">
        <v>0.31066555608440471</v>
      </c>
      <c r="C15" s="1">
        <v>0.32003961109110518</v>
      </c>
      <c r="D15" s="1">
        <v>0.24981346597974741</v>
      </c>
      <c r="E15" s="1">
        <v>0.3043236083279548</v>
      </c>
      <c r="F15" s="1">
        <v>0.20688602882275345</v>
      </c>
      <c r="G15" s="1">
        <v>0.41410958432345002</v>
      </c>
      <c r="H15" s="1">
        <f t="shared" si="1"/>
        <v>0.30097297577156928</v>
      </c>
      <c r="I15" s="13">
        <f>AVERAGE(H15:H16)</f>
        <v>0.29701188581889282</v>
      </c>
      <c r="J15" s="1">
        <v>0.26313247665228712</v>
      </c>
      <c r="K15" s="1">
        <v>0.23078508139295251</v>
      </c>
      <c r="L15" s="1">
        <v>0.19688708172243705</v>
      </c>
      <c r="M15" s="1">
        <v>0.19186841470280713</v>
      </c>
      <c r="N15" s="1">
        <v>0.21622851240685623</v>
      </c>
      <c r="O15" s="1">
        <v>0.22260724975058194</v>
      </c>
      <c r="P15" s="1">
        <f t="shared" si="2"/>
        <v>0.22025146943798701</v>
      </c>
      <c r="Q15" s="13">
        <f>AVERAGE(P15:P16)</f>
        <v>0.22189942210493918</v>
      </c>
      <c r="R15" s="1">
        <v>0.28290790865571336</v>
      </c>
      <c r="S15" s="1"/>
      <c r="T15" s="1">
        <v>0.30624674155173154</v>
      </c>
      <c r="U15" s="1">
        <v>0.30816337088242479</v>
      </c>
      <c r="V15" s="1">
        <v>0.32809789425925523</v>
      </c>
      <c r="W15" s="1">
        <v>0.33776546365986482</v>
      </c>
      <c r="X15" s="13">
        <f t="shared" si="3"/>
        <v>0.31263627580179792</v>
      </c>
      <c r="Y15" s="1">
        <f>AVERAGE(X15:X16)</f>
        <v>0.263007593763672</v>
      </c>
      <c r="Z15" s="1"/>
      <c r="AA15" s="1">
        <v>0.13317704341553571</v>
      </c>
      <c r="AB15" s="1">
        <v>0.24411772139102381</v>
      </c>
      <c r="AC15" s="1">
        <v>0.24220779220779234</v>
      </c>
      <c r="AD15" s="1">
        <v>0.193646772658815</v>
      </c>
      <c r="AE15" s="1">
        <v>0.22546053987224399</v>
      </c>
      <c r="AF15" s="1">
        <f t="shared" si="4"/>
        <v>0.20772197390908217</v>
      </c>
      <c r="AG15" s="13">
        <f>AVERAGE(AF15:AF16)</f>
        <v>0.20772197390908217</v>
      </c>
    </row>
    <row r="16" spans="1:33" x14ac:dyDescent="0.2">
      <c r="A16" s="6"/>
      <c r="B16" s="11">
        <f>C15</f>
        <v>0.32003961109110518</v>
      </c>
      <c r="C16" s="11">
        <f t="shared" ref="C16:AE16" si="10">D15</f>
        <v>0.24981346597974741</v>
      </c>
      <c r="D16" s="11">
        <f t="shared" si="10"/>
        <v>0.3043236083279548</v>
      </c>
      <c r="E16" s="11">
        <f t="shared" si="10"/>
        <v>0.20688602882275345</v>
      </c>
      <c r="F16" s="11">
        <f t="shared" si="10"/>
        <v>0.41410958432345002</v>
      </c>
      <c r="G16" s="11">
        <f>J15</f>
        <v>0.26313247665228712</v>
      </c>
      <c r="H16" s="1">
        <f t="shared" si="1"/>
        <v>0.2930507958662163</v>
      </c>
      <c r="I16" s="13"/>
      <c r="J16" s="11">
        <f t="shared" si="10"/>
        <v>0.23078508139295251</v>
      </c>
      <c r="K16" s="11">
        <f t="shared" si="10"/>
        <v>0.19688708172243705</v>
      </c>
      <c r="L16" s="11">
        <f t="shared" si="10"/>
        <v>0.19186841470280713</v>
      </c>
      <c r="M16" s="11">
        <f t="shared" si="10"/>
        <v>0.21622851240685623</v>
      </c>
      <c r="N16" s="11">
        <f t="shared" si="10"/>
        <v>0.22260724975058194</v>
      </c>
      <c r="O16" s="11">
        <f>R15</f>
        <v>0.28290790865571336</v>
      </c>
      <c r="P16" s="1">
        <f t="shared" si="2"/>
        <v>0.22354737477189138</v>
      </c>
      <c r="Q16" s="13"/>
      <c r="R16" s="11">
        <f t="shared" si="10"/>
        <v>0</v>
      </c>
      <c r="S16" s="11">
        <f t="shared" si="10"/>
        <v>0.30624674155173154</v>
      </c>
      <c r="T16" s="11">
        <f t="shared" si="10"/>
        <v>0.30816337088242479</v>
      </c>
      <c r="U16" s="11">
        <f t="shared" si="10"/>
        <v>0.32809789425925523</v>
      </c>
      <c r="V16" s="11">
        <f t="shared" si="10"/>
        <v>0.33776546365986482</v>
      </c>
      <c r="W16" s="11">
        <f>Z15</f>
        <v>0</v>
      </c>
      <c r="X16" s="13">
        <f t="shared" si="3"/>
        <v>0.21337891172554604</v>
      </c>
      <c r="Y16" s="1"/>
      <c r="Z16" s="11">
        <f t="shared" si="10"/>
        <v>0.13317704341553571</v>
      </c>
      <c r="AA16" s="11">
        <f t="shared" si="10"/>
        <v>0.24411772139102381</v>
      </c>
      <c r="AB16" s="11">
        <f t="shared" si="10"/>
        <v>0.24220779220779234</v>
      </c>
      <c r="AC16" s="11">
        <f t="shared" si="10"/>
        <v>0.193646772658815</v>
      </c>
      <c r="AD16" s="11">
        <f t="shared" si="10"/>
        <v>0.22546053987224399</v>
      </c>
      <c r="AE16" s="11">
        <f t="shared" si="10"/>
        <v>0.20772197390908217</v>
      </c>
      <c r="AF16" s="1">
        <f t="shared" si="4"/>
        <v>0.20772197390908217</v>
      </c>
      <c r="AG16" s="13"/>
    </row>
    <row r="17" spans="1:33" x14ac:dyDescent="0.2">
      <c r="A17" s="6" t="s">
        <v>93</v>
      </c>
      <c r="B17" s="1">
        <v>1.3816172193135542E-3</v>
      </c>
      <c r="C17" s="1">
        <v>5.1245117863771077E-4</v>
      </c>
      <c r="D17" s="1">
        <v>2.2597264167702972E-3</v>
      </c>
      <c r="E17" s="1">
        <v>5.2304452671263115E-4</v>
      </c>
      <c r="F17" s="1">
        <v>2.1361489811332268E-3</v>
      </c>
      <c r="G17" s="1">
        <v>1.0762131074146778E-3</v>
      </c>
      <c r="H17" s="1">
        <f t="shared" si="1"/>
        <v>1.3148669049970162E-3</v>
      </c>
      <c r="I17" s="13">
        <f>AVERAGE(H17:H18)</f>
        <v>1.7479383927984709E-3</v>
      </c>
      <c r="J17" s="1">
        <v>6.5784750729310105E-3</v>
      </c>
      <c r="K17" s="1">
        <v>3.5223057902328456E-3</v>
      </c>
      <c r="L17" s="1">
        <v>5.9792027729636057E-3</v>
      </c>
      <c r="M17" s="1">
        <v>7.2790155232043789E-3</v>
      </c>
      <c r="N17" s="1">
        <v>3.2584905196370167E-3</v>
      </c>
      <c r="O17" s="1">
        <v>3.3455271034253417E-3</v>
      </c>
      <c r="P17" s="1">
        <f t="shared" si="2"/>
        <v>4.9938361303990333E-3</v>
      </c>
      <c r="Q17" s="13">
        <f>AVERAGE(P17:P18)</f>
        <v>5.0188724450778103E-3</v>
      </c>
      <c r="R17" s="1">
        <v>6.8789108490763372E-3</v>
      </c>
      <c r="S17" s="1"/>
      <c r="T17" s="1">
        <v>2.8595352070398283E-3</v>
      </c>
      <c r="U17" s="1">
        <v>4.97924237917254E-4</v>
      </c>
      <c r="V17" s="1">
        <v>1.7214230430489207E-3</v>
      </c>
      <c r="W17" s="1">
        <v>9.4260129393450342E-4</v>
      </c>
      <c r="X17" s="13">
        <f t="shared" si="3"/>
        <v>2.5800789262033683E-3</v>
      </c>
      <c r="Y17" s="1">
        <f>AVERAGE(X17:X18)</f>
        <v>1.791829778263393E-3</v>
      </c>
      <c r="Z17" s="1"/>
      <c r="AA17" s="1">
        <v>7.0974514867937141E-3</v>
      </c>
      <c r="AB17" s="1">
        <v>4.2900828952689004E-3</v>
      </c>
      <c r="AC17" s="1">
        <v>6.0542398777692907E-3</v>
      </c>
      <c r="AD17" s="1">
        <v>4.5056115343655289E-3</v>
      </c>
      <c r="AE17" s="1">
        <v>1.0756233257778695E-2</v>
      </c>
      <c r="AF17" s="1">
        <f t="shared" si="4"/>
        <v>6.5407238103952266E-3</v>
      </c>
      <c r="AG17" s="13">
        <f>AVERAGE(AF17:AF18)</f>
        <v>6.5407238103952266E-3</v>
      </c>
    </row>
    <row r="18" spans="1:33" x14ac:dyDescent="0.2">
      <c r="A18" s="6"/>
      <c r="B18" s="11">
        <f>C17</f>
        <v>5.1245117863771077E-4</v>
      </c>
      <c r="C18" s="11">
        <f t="shared" ref="C18:AE18" si="11">D17</f>
        <v>2.2597264167702972E-3</v>
      </c>
      <c r="D18" s="11">
        <f t="shared" si="11"/>
        <v>5.2304452671263115E-4</v>
      </c>
      <c r="E18" s="11">
        <f t="shared" si="11"/>
        <v>2.1361489811332268E-3</v>
      </c>
      <c r="F18" s="11">
        <f t="shared" si="11"/>
        <v>1.0762131074146778E-3</v>
      </c>
      <c r="G18" s="11">
        <f>J17</f>
        <v>6.5784750729310105E-3</v>
      </c>
      <c r="H18" s="1">
        <f t="shared" si="1"/>
        <v>2.1810098805999257E-3</v>
      </c>
      <c r="I18" s="13"/>
      <c r="J18" s="11">
        <f t="shared" si="11"/>
        <v>3.5223057902328456E-3</v>
      </c>
      <c r="K18" s="11">
        <f t="shared" si="11"/>
        <v>5.9792027729636057E-3</v>
      </c>
      <c r="L18" s="11">
        <f t="shared" si="11"/>
        <v>7.2790155232043789E-3</v>
      </c>
      <c r="M18" s="11">
        <f t="shared" si="11"/>
        <v>3.2584905196370167E-3</v>
      </c>
      <c r="N18" s="11">
        <f t="shared" si="11"/>
        <v>3.3455271034253417E-3</v>
      </c>
      <c r="O18" s="11">
        <f>R17</f>
        <v>6.8789108490763372E-3</v>
      </c>
      <c r="P18" s="1">
        <f t="shared" si="2"/>
        <v>5.0439087597565872E-3</v>
      </c>
      <c r="Q18" s="13"/>
      <c r="R18" s="11">
        <f t="shared" si="11"/>
        <v>0</v>
      </c>
      <c r="S18" s="11">
        <f t="shared" si="11"/>
        <v>2.8595352070398283E-3</v>
      </c>
      <c r="T18" s="11">
        <f t="shared" si="11"/>
        <v>4.97924237917254E-4</v>
      </c>
      <c r="U18" s="11">
        <f t="shared" si="11"/>
        <v>1.7214230430489207E-3</v>
      </c>
      <c r="V18" s="11">
        <f t="shared" si="11"/>
        <v>9.4260129393450342E-4</v>
      </c>
      <c r="W18" s="11">
        <f>Z17</f>
        <v>0</v>
      </c>
      <c r="X18" s="13">
        <f t="shared" si="3"/>
        <v>1.0035806303234178E-3</v>
      </c>
      <c r="Y18" s="1"/>
      <c r="Z18" s="11">
        <f t="shared" si="11"/>
        <v>7.0974514867937141E-3</v>
      </c>
      <c r="AA18" s="11">
        <f t="shared" si="11"/>
        <v>4.2900828952689004E-3</v>
      </c>
      <c r="AB18" s="11">
        <f t="shared" si="11"/>
        <v>6.0542398777692907E-3</v>
      </c>
      <c r="AC18" s="11">
        <f t="shared" si="11"/>
        <v>4.5056115343655289E-3</v>
      </c>
      <c r="AD18" s="11">
        <f t="shared" si="11"/>
        <v>1.0756233257778695E-2</v>
      </c>
      <c r="AE18" s="11">
        <f t="shared" si="11"/>
        <v>6.5407238103952266E-3</v>
      </c>
      <c r="AF18" s="1">
        <f t="shared" si="4"/>
        <v>6.5407238103952275E-3</v>
      </c>
      <c r="AG18" s="13"/>
    </row>
    <row r="19" spans="1:33" x14ac:dyDescent="0.2">
      <c r="A19" s="6" t="s">
        <v>96</v>
      </c>
      <c r="B19" s="1">
        <v>2.8200856734888168E-2</v>
      </c>
      <c r="C19" s="1">
        <v>3.6778759591147028E-2</v>
      </c>
      <c r="D19" s="1">
        <v>2.1211582874400416E-2</v>
      </c>
      <c r="E19" s="1">
        <v>4.3059470841965847E-2</v>
      </c>
      <c r="F19" s="1">
        <v>3.6795166200019838E-2</v>
      </c>
      <c r="G19" s="1">
        <v>4.5089024348245355E-2</v>
      </c>
      <c r="H19" s="1">
        <f t="shared" si="1"/>
        <v>3.5189143431777779E-2</v>
      </c>
      <c r="I19" s="13">
        <f>AVERAGE(H19:H20)</f>
        <v>3.4217745508589359E-2</v>
      </c>
      <c r="J19" s="1">
        <v>1.6544081656627099E-2</v>
      </c>
      <c r="K19" s="1">
        <v>3.6485163816196119E-2</v>
      </c>
      <c r="L19" s="1">
        <v>1.5657912278362895E-2</v>
      </c>
      <c r="M19" s="1">
        <v>2.3539505080565168E-2</v>
      </c>
      <c r="N19" s="1">
        <v>1.9372648353540068E-2</v>
      </c>
      <c r="O19" s="1">
        <v>1.8636514798802788E-2</v>
      </c>
      <c r="P19" s="1">
        <f t="shared" si="2"/>
        <v>2.1705970997349024E-2</v>
      </c>
      <c r="Q19" s="13">
        <f>AVERAGE(P19:P20)</f>
        <v>2.440972094254892E-2</v>
      </c>
      <c r="R19" s="1">
        <v>4.8989080999025846E-2</v>
      </c>
      <c r="S19" s="1"/>
      <c r="T19" s="1">
        <v>5.8952241022481276E-2</v>
      </c>
      <c r="U19" s="1">
        <v>4.561503343205605E-2</v>
      </c>
      <c r="V19" s="1">
        <v>3.4975579812645104E-2</v>
      </c>
      <c r="W19" s="1">
        <v>3.7861151973035877E-2</v>
      </c>
      <c r="X19" s="13">
        <f t="shared" si="3"/>
        <v>4.5278617447848828E-2</v>
      </c>
      <c r="Y19" s="1">
        <f>AVERAGE(X19:X20)</f>
        <v>3.7422975910609273E-2</v>
      </c>
      <c r="Z19" s="1"/>
      <c r="AA19" s="1">
        <v>1.6333155145652329E-2</v>
      </c>
      <c r="AB19" s="1">
        <v>3.157854832187617E-2</v>
      </c>
      <c r="AC19" s="1">
        <v>3.6834733893557431E-2</v>
      </c>
      <c r="AD19" s="1">
        <v>1.4733034639645596E-2</v>
      </c>
      <c r="AE19" s="1">
        <v>1.8841953430867513E-2</v>
      </c>
      <c r="AF19" s="1">
        <f t="shared" si="4"/>
        <v>2.3664285086319809E-2</v>
      </c>
      <c r="AG19" s="13">
        <f>AVERAGE(AF19:AF20)</f>
        <v>2.3664285086319809E-2</v>
      </c>
    </row>
    <row r="20" spans="1:33" x14ac:dyDescent="0.2">
      <c r="A20" s="6"/>
      <c r="B20" s="11">
        <f>C19</f>
        <v>3.6778759591147028E-2</v>
      </c>
      <c r="C20" s="11">
        <f t="shared" ref="C20:AE20" si="12">D19</f>
        <v>2.1211582874400416E-2</v>
      </c>
      <c r="D20" s="11">
        <f t="shared" si="12"/>
        <v>4.3059470841965847E-2</v>
      </c>
      <c r="E20" s="11">
        <f t="shared" si="12"/>
        <v>3.6795166200019838E-2</v>
      </c>
      <c r="F20" s="11">
        <f t="shared" si="12"/>
        <v>4.5089024348245355E-2</v>
      </c>
      <c r="G20" s="11">
        <f>J19</f>
        <v>1.6544081656627099E-2</v>
      </c>
      <c r="H20" s="1">
        <f t="shared" si="1"/>
        <v>3.3246347585400932E-2</v>
      </c>
      <c r="I20" s="13"/>
      <c r="J20" s="11">
        <f t="shared" si="12"/>
        <v>3.6485163816196119E-2</v>
      </c>
      <c r="K20" s="11">
        <f t="shared" si="12"/>
        <v>1.5657912278362895E-2</v>
      </c>
      <c r="L20" s="11">
        <f t="shared" si="12"/>
        <v>2.3539505080565168E-2</v>
      </c>
      <c r="M20" s="11">
        <f t="shared" si="12"/>
        <v>1.9372648353540068E-2</v>
      </c>
      <c r="N20" s="11">
        <f t="shared" si="12"/>
        <v>1.8636514798802788E-2</v>
      </c>
      <c r="O20" s="11">
        <f>R19</f>
        <v>4.8989080999025846E-2</v>
      </c>
      <c r="P20" s="1">
        <f t="shared" si="2"/>
        <v>2.7113470887748816E-2</v>
      </c>
      <c r="Q20" s="13"/>
      <c r="R20" s="11">
        <f t="shared" si="12"/>
        <v>0</v>
      </c>
      <c r="S20" s="11">
        <f t="shared" si="12"/>
        <v>5.8952241022481276E-2</v>
      </c>
      <c r="T20" s="11">
        <f t="shared" si="12"/>
        <v>4.561503343205605E-2</v>
      </c>
      <c r="U20" s="11">
        <f t="shared" si="12"/>
        <v>3.4975579812645104E-2</v>
      </c>
      <c r="V20" s="11">
        <f t="shared" si="12"/>
        <v>3.7861151973035877E-2</v>
      </c>
      <c r="W20" s="11">
        <f>Z19</f>
        <v>0</v>
      </c>
      <c r="X20" s="13">
        <f t="shared" si="3"/>
        <v>2.9567334373369721E-2</v>
      </c>
      <c r="Y20" s="1"/>
      <c r="Z20" s="11">
        <f t="shared" si="12"/>
        <v>1.6333155145652329E-2</v>
      </c>
      <c r="AA20" s="11">
        <f t="shared" si="12"/>
        <v>3.157854832187617E-2</v>
      </c>
      <c r="AB20" s="11">
        <f t="shared" si="12"/>
        <v>3.6834733893557431E-2</v>
      </c>
      <c r="AC20" s="11">
        <f t="shared" si="12"/>
        <v>1.4733034639645596E-2</v>
      </c>
      <c r="AD20" s="11">
        <f t="shared" si="12"/>
        <v>1.8841953430867513E-2</v>
      </c>
      <c r="AE20" s="11">
        <f t="shared" si="12"/>
        <v>2.3664285086319809E-2</v>
      </c>
      <c r="AF20" s="1">
        <f t="shared" si="4"/>
        <v>2.3664285086319809E-2</v>
      </c>
      <c r="AG20" s="13"/>
    </row>
    <row r="21" spans="1:33" x14ac:dyDescent="0.2">
      <c r="A21" s="6" t="s">
        <v>97</v>
      </c>
      <c r="B21" s="1">
        <v>1.7385900893754291E-3</v>
      </c>
      <c r="C21" s="1">
        <v>2.7700063710146532E-5</v>
      </c>
      <c r="D21" s="1">
        <v>3.8585894475039982E-3</v>
      </c>
      <c r="E21" s="1">
        <v>6.7927860612030017E-4</v>
      </c>
      <c r="F21" s="1">
        <v>2.6015242948801086E-3</v>
      </c>
      <c r="G21" s="1">
        <v>2.4795949994834178E-3</v>
      </c>
      <c r="H21" s="1">
        <f t="shared" si="1"/>
        <v>1.8975462501789001E-3</v>
      </c>
      <c r="I21" s="13">
        <f>AVERAGE(H21:H22)</f>
        <v>2.04797723186798E-3</v>
      </c>
      <c r="J21" s="1">
        <v>3.5437618696443842E-3</v>
      </c>
      <c r="K21" s="1">
        <v>9.0150422419122192E-5</v>
      </c>
      <c r="L21" s="1">
        <v>5.8658845487268377E-4</v>
      </c>
      <c r="M21" s="1">
        <v>5.3620740502426337E-5</v>
      </c>
      <c r="N21" s="1">
        <v>8.4228905884956842E-4</v>
      </c>
      <c r="O21" s="1">
        <v>6.784170269371468E-4</v>
      </c>
      <c r="P21" s="1">
        <f t="shared" si="2"/>
        <v>9.6580459553755526E-4</v>
      </c>
      <c r="Q21" s="13">
        <f>AVERAGE(P21:P22)</f>
        <v>9.2200066177147233E-4</v>
      </c>
      <c r="R21" s="1">
        <v>3.0181146644513903E-3</v>
      </c>
      <c r="S21" s="1"/>
      <c r="T21" s="1">
        <v>2.8674344755675631E-3</v>
      </c>
      <c r="U21" s="1">
        <v>6.1432211171609248E-4</v>
      </c>
      <c r="V21" s="1">
        <v>1.7080786783741221E-3</v>
      </c>
      <c r="W21" s="1">
        <v>5.6413259258201337E-4</v>
      </c>
      <c r="X21" s="13">
        <f t="shared" si="3"/>
        <v>1.7544165045382362E-3</v>
      </c>
      <c r="Y21" s="1">
        <f>AVERAGE(X21:X22)</f>
        <v>1.3567055737891006E-3</v>
      </c>
      <c r="Z21" s="1"/>
      <c r="AA21" s="1">
        <v>3.8643111543341474E-5</v>
      </c>
      <c r="AB21" s="1">
        <v>1.1815103113627173E-3</v>
      </c>
      <c r="AC21" s="1">
        <v>2.9921059332824033E-4</v>
      </c>
      <c r="AD21" s="1">
        <v>8.0659898797033223E-4</v>
      </c>
      <c r="AE21" s="1">
        <v>1.1539254069647641E-4</v>
      </c>
      <c r="AF21" s="1">
        <f t="shared" si="4"/>
        <v>4.8827110898022158E-4</v>
      </c>
      <c r="AG21" s="13">
        <f>AVERAGE(AF21:AF22)</f>
        <v>4.8827110898022158E-4</v>
      </c>
    </row>
    <row r="22" spans="1:33" x14ac:dyDescent="0.2">
      <c r="A22" s="6"/>
      <c r="B22" s="11">
        <f>C21</f>
        <v>2.7700063710146532E-5</v>
      </c>
      <c r="C22" s="11">
        <f t="shared" ref="C22:AE22" si="13">D21</f>
        <v>3.8585894475039982E-3</v>
      </c>
      <c r="D22" s="11">
        <f t="shared" si="13"/>
        <v>6.7927860612030017E-4</v>
      </c>
      <c r="E22" s="11">
        <f t="shared" si="13"/>
        <v>2.6015242948801086E-3</v>
      </c>
      <c r="F22" s="11">
        <f t="shared" si="13"/>
        <v>2.4795949994834178E-3</v>
      </c>
      <c r="G22" s="11">
        <f>J21</f>
        <v>3.5437618696443842E-3</v>
      </c>
      <c r="H22" s="1">
        <f t="shared" si="1"/>
        <v>2.1984082135570594E-3</v>
      </c>
      <c r="I22" s="13"/>
      <c r="J22" s="11">
        <f t="shared" si="13"/>
        <v>9.0150422419122192E-5</v>
      </c>
      <c r="K22" s="11">
        <f t="shared" si="13"/>
        <v>5.8658845487268377E-4</v>
      </c>
      <c r="L22" s="11">
        <f t="shared" si="13"/>
        <v>5.3620740502426337E-5</v>
      </c>
      <c r="M22" s="11">
        <f t="shared" si="13"/>
        <v>8.4228905884956842E-4</v>
      </c>
      <c r="N22" s="11">
        <f t="shared" si="13"/>
        <v>6.784170269371468E-4</v>
      </c>
      <c r="O22" s="11">
        <f>R21</f>
        <v>3.0181146644513903E-3</v>
      </c>
      <c r="P22" s="1">
        <f t="shared" si="2"/>
        <v>8.7819672800538951E-4</v>
      </c>
      <c r="Q22" s="13"/>
      <c r="R22" s="11">
        <f t="shared" si="13"/>
        <v>0</v>
      </c>
      <c r="S22" s="11">
        <f t="shared" si="13"/>
        <v>2.8674344755675631E-3</v>
      </c>
      <c r="T22" s="11">
        <f t="shared" si="13"/>
        <v>6.1432211171609248E-4</v>
      </c>
      <c r="U22" s="11">
        <f t="shared" si="13"/>
        <v>1.7080786783741221E-3</v>
      </c>
      <c r="V22" s="11">
        <f t="shared" si="13"/>
        <v>5.6413259258201337E-4</v>
      </c>
      <c r="W22" s="11">
        <f>Z21</f>
        <v>0</v>
      </c>
      <c r="X22" s="13">
        <f t="shared" si="3"/>
        <v>9.5899464303996504E-4</v>
      </c>
      <c r="Y22" s="1"/>
      <c r="Z22" s="11">
        <f t="shared" si="13"/>
        <v>3.8643111543341474E-5</v>
      </c>
      <c r="AA22" s="11">
        <f t="shared" si="13"/>
        <v>1.1815103113627173E-3</v>
      </c>
      <c r="AB22" s="11">
        <f t="shared" si="13"/>
        <v>2.9921059332824033E-4</v>
      </c>
      <c r="AC22" s="11">
        <f t="shared" si="13"/>
        <v>8.0659898797033223E-4</v>
      </c>
      <c r="AD22" s="11">
        <f t="shared" si="13"/>
        <v>1.1539254069647641E-4</v>
      </c>
      <c r="AE22" s="11">
        <f t="shared" si="13"/>
        <v>4.8827110898022158E-4</v>
      </c>
      <c r="AF22" s="1">
        <f t="shared" si="4"/>
        <v>4.8827110898022158E-4</v>
      </c>
      <c r="AG22" s="13"/>
    </row>
    <row r="23" spans="1:33" x14ac:dyDescent="0.2">
      <c r="A23" s="6" t="s">
        <v>100</v>
      </c>
      <c r="B23" s="1">
        <v>2.6382939341054523E-2</v>
      </c>
      <c r="C23" s="1">
        <v>1.1800227140522427E-2</v>
      </c>
      <c r="D23" s="1">
        <v>4.0689287617694109E-2</v>
      </c>
      <c r="E23" s="1">
        <v>2.4800461909452173E-2</v>
      </c>
      <c r="F23" s="1">
        <v>2.8990593315379513E-2</v>
      </c>
      <c r="G23" s="1">
        <v>3.3405654854151604E-2</v>
      </c>
      <c r="H23" s="1">
        <f t="shared" si="1"/>
        <v>2.7678194029709058E-2</v>
      </c>
      <c r="I23" s="13">
        <f>AVERAGE(H23:H24)</f>
        <v>2.9041868704966591E-2</v>
      </c>
      <c r="J23" s="1">
        <v>4.2747035444144904E-2</v>
      </c>
      <c r="K23" s="1">
        <v>7.3794560065938569E-3</v>
      </c>
      <c r="L23" s="1">
        <v>1.2391681109185444E-2</v>
      </c>
      <c r="M23" s="1">
        <v>6.380868119788735E-3</v>
      </c>
      <c r="N23" s="1">
        <v>2.4739935567961047E-2</v>
      </c>
      <c r="O23" s="1">
        <v>2.3165946125706681E-2</v>
      </c>
      <c r="P23" s="1">
        <f t="shared" si="2"/>
        <v>1.9467487062230112E-2</v>
      </c>
      <c r="Q23" s="13">
        <f>AVERAGE(P23:P24)</f>
        <v>1.7500950178667252E-2</v>
      </c>
      <c r="R23" s="1">
        <v>1.9148592841390588E-2</v>
      </c>
      <c r="S23" s="1"/>
      <c r="T23" s="1">
        <v>4.9062356825757915E-2</v>
      </c>
      <c r="U23" s="1">
        <v>2.1242611968288048E-2</v>
      </c>
      <c r="V23" s="1">
        <v>3.0184952894392714E-2</v>
      </c>
      <c r="W23" s="1">
        <v>2.5250289207215174E-2</v>
      </c>
      <c r="X23" s="13">
        <f t="shared" si="3"/>
        <v>2.8977760747408886E-2</v>
      </c>
      <c r="Y23" s="1">
        <f>AVERAGE(X23:X24)</f>
        <v>2.4967231281675599E-2</v>
      </c>
      <c r="Z23" s="1"/>
      <c r="AA23" s="1">
        <v>6.4984832578719176E-3</v>
      </c>
      <c r="AB23" s="1">
        <v>3.3461382935705525E-2</v>
      </c>
      <c r="AC23" s="1">
        <v>2.3866819455054721E-2</v>
      </c>
      <c r="AD23" s="1">
        <v>1.4575495774807637E-2</v>
      </c>
      <c r="AE23" s="1">
        <v>9.239645580053581E-3</v>
      </c>
      <c r="AF23" s="1">
        <f t="shared" si="4"/>
        <v>1.752836540069868E-2</v>
      </c>
      <c r="AG23" s="13">
        <f>AVERAGE(AF23:AF24)</f>
        <v>1.752836540069868E-2</v>
      </c>
    </row>
    <row r="24" spans="1:33" x14ac:dyDescent="0.2">
      <c r="A24" s="6"/>
      <c r="B24" s="11">
        <f>C23</f>
        <v>1.1800227140522427E-2</v>
      </c>
      <c r="C24" s="11">
        <f t="shared" ref="C24:AE24" si="14">D23</f>
        <v>4.0689287617694109E-2</v>
      </c>
      <c r="D24" s="11">
        <f t="shared" si="14"/>
        <v>2.4800461909452173E-2</v>
      </c>
      <c r="E24" s="11">
        <f t="shared" si="14"/>
        <v>2.8990593315379513E-2</v>
      </c>
      <c r="F24" s="11">
        <f t="shared" si="14"/>
        <v>3.3405654854151604E-2</v>
      </c>
      <c r="G24" s="11">
        <f>J23</f>
        <v>4.2747035444144904E-2</v>
      </c>
      <c r="H24" s="1">
        <f t="shared" si="1"/>
        <v>3.0405543380224123E-2</v>
      </c>
      <c r="I24" s="13"/>
      <c r="J24" s="11">
        <f t="shared" si="14"/>
        <v>7.3794560065938569E-3</v>
      </c>
      <c r="K24" s="11">
        <f t="shared" si="14"/>
        <v>1.2391681109185444E-2</v>
      </c>
      <c r="L24" s="11">
        <f t="shared" si="14"/>
        <v>6.380868119788735E-3</v>
      </c>
      <c r="M24" s="11">
        <f t="shared" si="14"/>
        <v>2.4739935567961047E-2</v>
      </c>
      <c r="N24" s="11">
        <f t="shared" si="14"/>
        <v>2.3165946125706681E-2</v>
      </c>
      <c r="O24" s="11">
        <f>R23</f>
        <v>1.9148592841390588E-2</v>
      </c>
      <c r="P24" s="1">
        <f t="shared" si="2"/>
        <v>1.5534413295104391E-2</v>
      </c>
      <c r="Q24" s="13"/>
      <c r="R24" s="11">
        <f t="shared" si="14"/>
        <v>0</v>
      </c>
      <c r="S24" s="11">
        <f t="shared" si="14"/>
        <v>4.9062356825757915E-2</v>
      </c>
      <c r="T24" s="11">
        <f t="shared" si="14"/>
        <v>2.1242611968288048E-2</v>
      </c>
      <c r="U24" s="11">
        <f t="shared" si="14"/>
        <v>3.0184952894392714E-2</v>
      </c>
      <c r="V24" s="11">
        <f t="shared" si="14"/>
        <v>2.5250289207215174E-2</v>
      </c>
      <c r="W24" s="11">
        <f>Z23</f>
        <v>0</v>
      </c>
      <c r="X24" s="13">
        <f t="shared" si="3"/>
        <v>2.0956701815942308E-2</v>
      </c>
      <c r="Y24" s="1"/>
      <c r="Z24" s="11">
        <f t="shared" si="14"/>
        <v>6.4984832578719176E-3</v>
      </c>
      <c r="AA24" s="11">
        <f t="shared" si="14"/>
        <v>3.3461382935705525E-2</v>
      </c>
      <c r="AB24" s="11">
        <f t="shared" si="14"/>
        <v>2.3866819455054721E-2</v>
      </c>
      <c r="AC24" s="11">
        <f>AD23</f>
        <v>1.4575495774807637E-2</v>
      </c>
      <c r="AD24" s="11">
        <f t="shared" si="14"/>
        <v>9.239645580053581E-3</v>
      </c>
      <c r="AE24" s="11">
        <f t="shared" si="14"/>
        <v>1.752836540069868E-2</v>
      </c>
      <c r="AF24" s="1">
        <f t="shared" si="4"/>
        <v>1.7528365400698676E-2</v>
      </c>
      <c r="AG24" s="13"/>
    </row>
    <row r="25" spans="1:33" x14ac:dyDescent="0.2">
      <c r="A25" s="6" t="s">
        <v>108</v>
      </c>
      <c r="B25" s="1">
        <v>1.2718811148130527E-2</v>
      </c>
      <c r="C25" s="1">
        <v>4.7782609900002783E-3</v>
      </c>
      <c r="D25" s="1">
        <v>8.5699058447326303E-3</v>
      </c>
      <c r="E25" s="1">
        <v>1.150018680161669E-2</v>
      </c>
      <c r="F25" s="1">
        <v>2.4962426665242576E-2</v>
      </c>
      <c r="G25" s="1">
        <v>2.174811447463583E-2</v>
      </c>
      <c r="H25" s="1">
        <f t="shared" si="1"/>
        <v>1.4046284320726422E-2</v>
      </c>
      <c r="I25" s="13">
        <f>AVERAGE(H25:H26)</f>
        <v>1.472998384507342E-2</v>
      </c>
      <c r="J25" s="1">
        <v>2.0923205440294485E-2</v>
      </c>
      <c r="K25" s="1">
        <v>1.4868380383268077E-2</v>
      </c>
      <c r="L25" s="1">
        <v>1.2085055325956537E-2</v>
      </c>
      <c r="M25" s="1">
        <v>6.3272473792863109E-3</v>
      </c>
      <c r="N25" s="1">
        <v>9.0192558345424563E-3</v>
      </c>
      <c r="O25" s="1">
        <v>8.8061190555370778E-3</v>
      </c>
      <c r="P25" s="1">
        <f t="shared" si="2"/>
        <v>1.2004877236480825E-2</v>
      </c>
      <c r="Q25" s="13">
        <f>AVERAGE(P25:P26)</f>
        <v>1.235403549929865E-2</v>
      </c>
      <c r="R25" s="1">
        <v>2.5113104594108412E-2</v>
      </c>
      <c r="S25" s="1"/>
      <c r="T25" s="1">
        <v>2.8405769625732644E-2</v>
      </c>
      <c r="U25" s="1">
        <v>1.5571448894866852E-2</v>
      </c>
      <c r="V25" s="1">
        <v>1.7801382476180305E-2</v>
      </c>
      <c r="W25" s="1">
        <v>1.3503477627501101E-2</v>
      </c>
      <c r="X25" s="13">
        <f t="shared" si="3"/>
        <v>2.0079036643677863E-2</v>
      </c>
      <c r="Y25" s="1">
        <f>AVERAGE(X25:X26)</f>
        <v>1.6313024873862339E-2</v>
      </c>
      <c r="Z25" s="1"/>
      <c r="AA25" s="1">
        <v>6.2344219956590868E-3</v>
      </c>
      <c r="AB25" s="1">
        <v>1.0886322280630788E-2</v>
      </c>
      <c r="AC25" s="1">
        <v>1.2051184110007636E-2</v>
      </c>
      <c r="AD25" s="1">
        <v>1.0800864573290226E-2</v>
      </c>
      <c r="AE25" s="1">
        <v>7.4263342262518061E-3</v>
      </c>
      <c r="AF25" s="1">
        <f t="shared" si="4"/>
        <v>9.4798254371679085E-3</v>
      </c>
      <c r="AG25" s="13">
        <f>AVERAGE(AF25:AF26)</f>
        <v>9.4798254371679085E-3</v>
      </c>
    </row>
    <row r="26" spans="1:33" x14ac:dyDescent="0.2">
      <c r="A26" s="6"/>
      <c r="B26" s="11">
        <f>C25</f>
        <v>4.7782609900002783E-3</v>
      </c>
      <c r="C26" s="11">
        <f t="shared" ref="C26:AE26" si="15">D25</f>
        <v>8.5699058447326303E-3</v>
      </c>
      <c r="D26" s="11">
        <f t="shared" si="15"/>
        <v>1.150018680161669E-2</v>
      </c>
      <c r="E26" s="11">
        <f t="shared" si="15"/>
        <v>2.4962426665242576E-2</v>
      </c>
      <c r="F26" s="11">
        <f t="shared" si="15"/>
        <v>2.174811447463583E-2</v>
      </c>
      <c r="G26" s="11">
        <f>J25</f>
        <v>2.0923205440294485E-2</v>
      </c>
      <c r="H26" s="1">
        <f t="shared" si="1"/>
        <v>1.5413683369420415E-2</v>
      </c>
      <c r="I26" s="13"/>
      <c r="J26" s="11">
        <f t="shared" si="15"/>
        <v>1.4868380383268077E-2</v>
      </c>
      <c r="K26" s="11">
        <f t="shared" si="15"/>
        <v>1.2085055325956537E-2</v>
      </c>
      <c r="L26" s="11">
        <f t="shared" si="15"/>
        <v>6.3272473792863109E-3</v>
      </c>
      <c r="M26" s="11">
        <f t="shared" si="15"/>
        <v>9.0192558345424563E-3</v>
      </c>
      <c r="N26" s="11">
        <f t="shared" si="15"/>
        <v>8.8061190555370778E-3</v>
      </c>
      <c r="O26" s="11">
        <f>R25</f>
        <v>2.5113104594108412E-2</v>
      </c>
      <c r="P26" s="1">
        <f t="shared" si="2"/>
        <v>1.2703193762116477E-2</v>
      </c>
      <c r="Q26" s="13"/>
      <c r="R26" s="11">
        <f t="shared" si="15"/>
        <v>0</v>
      </c>
      <c r="S26" s="11">
        <f t="shared" si="15"/>
        <v>2.8405769625732644E-2</v>
      </c>
      <c r="T26" s="11">
        <f t="shared" si="15"/>
        <v>1.5571448894866852E-2</v>
      </c>
      <c r="U26" s="11">
        <f t="shared" si="15"/>
        <v>1.7801382476180305E-2</v>
      </c>
      <c r="V26" s="11">
        <f t="shared" si="15"/>
        <v>1.3503477627501101E-2</v>
      </c>
      <c r="W26" s="11">
        <f>Z25</f>
        <v>0</v>
      </c>
      <c r="X26" s="13">
        <f t="shared" si="3"/>
        <v>1.2547013104046817E-2</v>
      </c>
      <c r="Y26" s="1"/>
      <c r="Z26" s="11">
        <f t="shared" si="15"/>
        <v>6.2344219956590868E-3</v>
      </c>
      <c r="AA26" s="11">
        <f t="shared" si="15"/>
        <v>1.0886322280630788E-2</v>
      </c>
      <c r="AB26" s="11">
        <f t="shared" si="15"/>
        <v>1.2051184110007636E-2</v>
      </c>
      <c r="AC26" s="11">
        <f t="shared" si="15"/>
        <v>1.0800864573290226E-2</v>
      </c>
      <c r="AD26" s="11">
        <f t="shared" si="15"/>
        <v>7.4263342262518061E-3</v>
      </c>
      <c r="AE26" s="11">
        <f t="shared" si="15"/>
        <v>9.4798254371679085E-3</v>
      </c>
      <c r="AF26" s="1">
        <f t="shared" si="4"/>
        <v>9.4798254371679085E-3</v>
      </c>
      <c r="AG26" s="13"/>
    </row>
    <row r="27" spans="1:33" x14ac:dyDescent="0.2">
      <c r="A27" s="6" t="s">
        <v>111</v>
      </c>
      <c r="B27" s="1">
        <v>1.201147601671162E-2</v>
      </c>
      <c r="C27" s="1">
        <v>2.3856679870363707E-2</v>
      </c>
      <c r="D27" s="1">
        <v>1.5185645763012972E-2</v>
      </c>
      <c r="E27" s="1">
        <v>1.3796148490303297E-2</v>
      </c>
      <c r="F27" s="1">
        <v>1.7531679852300554E-2</v>
      </c>
      <c r="G27" s="1">
        <v>8.8077280710817246E-3</v>
      </c>
      <c r="H27" s="1">
        <f t="shared" si="1"/>
        <v>1.5198226343962312E-2</v>
      </c>
      <c r="I27" s="13">
        <f>AVERAGE(H27:H28)</f>
        <v>1.4210866394555727E-2</v>
      </c>
      <c r="J27" s="1">
        <v>1.6315662383261436E-4</v>
      </c>
      <c r="K27" s="1">
        <v>2.672316093138265E-3</v>
      </c>
      <c r="L27" s="1">
        <v>4.2927609652046398E-3</v>
      </c>
      <c r="M27" s="1">
        <v>4.5778707203946497E-3</v>
      </c>
      <c r="N27" s="1">
        <v>1.5370238300174608E-3</v>
      </c>
      <c r="O27" s="1">
        <v>2.1882274692384437E-3</v>
      </c>
      <c r="P27" s="1">
        <f t="shared" si="2"/>
        <v>2.5718926169710121E-3</v>
      </c>
      <c r="Q27" s="13">
        <f>AVERAGE(P27:P28)</f>
        <v>4.0583888668542E-3</v>
      </c>
      <c r="R27" s="1">
        <v>1.8001111622430864E-2</v>
      </c>
      <c r="S27" s="1"/>
      <c r="T27" s="1">
        <v>6.1535301831050432E-3</v>
      </c>
      <c r="U27" s="1">
        <v>1.1200062078866023E-2</v>
      </c>
      <c r="V27" s="1">
        <v>3.4415116496303612E-2</v>
      </c>
      <c r="W27" s="1">
        <v>2.3207986403690421E-2</v>
      </c>
      <c r="X27" s="13">
        <f t="shared" si="3"/>
        <v>1.8595561356879193E-2</v>
      </c>
      <c r="Y27" s="1">
        <f>AVERAGE(X27:X28)</f>
        <v>1.5545838608603355E-2</v>
      </c>
      <c r="Z27" s="1"/>
      <c r="AA27" s="1">
        <v>1.0710582416096142E-2</v>
      </c>
      <c r="AB27" s="1">
        <v>2.7042054185200158E-3</v>
      </c>
      <c r="AC27" s="1">
        <v>1.8461930226636109E-3</v>
      </c>
      <c r="AD27" s="1">
        <v>4.2976602327794268E-3</v>
      </c>
      <c r="AE27" s="1">
        <v>1.2470636719554916E-2</v>
      </c>
      <c r="AF27" s="1">
        <f t="shared" si="4"/>
        <v>6.405855561922821E-3</v>
      </c>
      <c r="AG27" s="13">
        <f>AVERAGE(AF27:AF28)</f>
        <v>6.405855561922821E-3</v>
      </c>
    </row>
    <row r="28" spans="1:33" x14ac:dyDescent="0.2">
      <c r="A28" s="6"/>
      <c r="B28" s="11">
        <f>C27</f>
        <v>2.3856679870363707E-2</v>
      </c>
      <c r="C28" s="11">
        <f t="shared" ref="C28:AE28" si="16">D27</f>
        <v>1.5185645763012972E-2</v>
      </c>
      <c r="D28" s="11">
        <f t="shared" si="16"/>
        <v>1.3796148490303297E-2</v>
      </c>
      <c r="E28" s="11">
        <f t="shared" si="16"/>
        <v>1.7531679852300554E-2</v>
      </c>
      <c r="F28" s="11">
        <f t="shared" si="16"/>
        <v>8.8077280710817246E-3</v>
      </c>
      <c r="G28" s="11">
        <f>J27</f>
        <v>1.6315662383261436E-4</v>
      </c>
      <c r="H28" s="1">
        <f t="shared" si="1"/>
        <v>1.3223506445149144E-2</v>
      </c>
      <c r="I28" s="13"/>
      <c r="J28" s="11">
        <f t="shared" si="16"/>
        <v>2.672316093138265E-3</v>
      </c>
      <c r="K28" s="11">
        <f t="shared" si="16"/>
        <v>4.2927609652046398E-3</v>
      </c>
      <c r="L28" s="11">
        <f t="shared" si="16"/>
        <v>4.5778707203946497E-3</v>
      </c>
      <c r="M28" s="11">
        <f t="shared" si="16"/>
        <v>1.5370238300174608E-3</v>
      </c>
      <c r="N28" s="11">
        <f t="shared" si="16"/>
        <v>2.1882274692384437E-3</v>
      </c>
      <c r="O28" s="11">
        <f>R27</f>
        <v>1.8001111622430864E-2</v>
      </c>
      <c r="P28" s="1">
        <f t="shared" si="2"/>
        <v>5.5448851167373874E-3</v>
      </c>
      <c r="Q28" s="13"/>
      <c r="R28" s="11">
        <f t="shared" si="16"/>
        <v>0</v>
      </c>
      <c r="S28" s="11">
        <f t="shared" si="16"/>
        <v>6.1535301831050432E-3</v>
      </c>
      <c r="T28" s="11">
        <f t="shared" si="16"/>
        <v>1.1200062078866023E-2</v>
      </c>
      <c r="U28" s="11">
        <f t="shared" si="16"/>
        <v>3.4415116496303612E-2</v>
      </c>
      <c r="V28" s="11">
        <f t="shared" si="16"/>
        <v>2.3207986403690421E-2</v>
      </c>
      <c r="W28" s="11">
        <f>Z27</f>
        <v>0</v>
      </c>
      <c r="X28" s="13">
        <f t="shared" si="3"/>
        <v>1.2496115860327514E-2</v>
      </c>
      <c r="Y28" s="1"/>
      <c r="Z28" s="11">
        <f t="shared" si="16"/>
        <v>1.0710582416096142E-2</v>
      </c>
      <c r="AA28" s="11">
        <f t="shared" si="16"/>
        <v>2.7042054185200158E-3</v>
      </c>
      <c r="AB28" s="11">
        <f t="shared" si="16"/>
        <v>1.8461930226636109E-3</v>
      </c>
      <c r="AC28" s="11">
        <f t="shared" si="16"/>
        <v>4.2976602327794268E-3</v>
      </c>
      <c r="AD28" s="11">
        <f t="shared" si="16"/>
        <v>1.2470636719554916E-2</v>
      </c>
      <c r="AE28" s="11">
        <f t="shared" si="16"/>
        <v>6.405855561922821E-3</v>
      </c>
      <c r="AF28" s="1">
        <f t="shared" si="4"/>
        <v>6.4058555619228219E-3</v>
      </c>
      <c r="AG28" s="13"/>
    </row>
    <row r="29" spans="1:33" x14ac:dyDescent="0.2">
      <c r="A29" s="6" t="s">
        <v>113</v>
      </c>
      <c r="B29" s="1">
        <v>3.8738167010418399E-2</v>
      </c>
      <c r="C29" s="1">
        <v>2.4812332068363724E-2</v>
      </c>
      <c r="D29" s="1">
        <v>4.4213892343222642E-2</v>
      </c>
      <c r="E29" s="1">
        <v>2.6097884047141934E-2</v>
      </c>
      <c r="F29" s="1">
        <v>5.0893749475499163E-2</v>
      </c>
      <c r="G29" s="1">
        <v>3.23552708613149E-2</v>
      </c>
      <c r="H29" s="1">
        <f t="shared" si="1"/>
        <v>3.6185215967660132E-2</v>
      </c>
      <c r="I29" s="13">
        <f>AVERAGE(H29:H30)</f>
        <v>3.8358063487730923E-2</v>
      </c>
      <c r="J29" s="1">
        <v>6.4812337251267865E-2</v>
      </c>
      <c r="K29" s="1">
        <v>4.4598701833917107E-2</v>
      </c>
      <c r="L29" s="1">
        <v>3.9274763364884634E-2</v>
      </c>
      <c r="M29" s="1">
        <v>5.4264189388455467E-2</v>
      </c>
      <c r="N29" s="1">
        <v>5.2676880702358299E-2</v>
      </c>
      <c r="O29" s="1">
        <v>4.4556035916195495E-2</v>
      </c>
      <c r="P29" s="1">
        <f t="shared" si="2"/>
        <v>5.0030484742846486E-2</v>
      </c>
      <c r="Q29" s="13">
        <f>AVERAGE(P29:P30)</f>
        <v>4.7919500446060276E-2</v>
      </c>
      <c r="R29" s="1">
        <v>3.948052568983345E-2</v>
      </c>
      <c r="S29" s="1"/>
      <c r="T29" s="1">
        <v>5.9481492013839496E-2</v>
      </c>
      <c r="U29" s="1">
        <v>2.2652319550962922E-2</v>
      </c>
      <c r="V29" s="1">
        <v>3.0892204222156987E-2</v>
      </c>
      <c r="W29" s="1">
        <v>2.9841900055699155E-2</v>
      </c>
      <c r="X29" s="13">
        <f t="shared" si="3"/>
        <v>3.6469688306498396E-2</v>
      </c>
      <c r="Y29" s="1">
        <f>AVERAGE(X29:X30)</f>
        <v>3.0140503806804074E-2</v>
      </c>
      <c r="Z29" s="1"/>
      <c r="AA29" s="1">
        <v>5.9768012520368119E-2</v>
      </c>
      <c r="AB29" s="1">
        <v>5.580898706025042E-2</v>
      </c>
      <c r="AC29" s="1">
        <v>7.0346320346320365E-2</v>
      </c>
      <c r="AD29" s="1">
        <v>4.0411869608232308E-2</v>
      </c>
      <c r="AE29" s="1">
        <v>4.2563362868328868E-2</v>
      </c>
      <c r="AF29" s="1">
        <f t="shared" si="4"/>
        <v>5.3779710480700016E-2</v>
      </c>
      <c r="AG29" s="13">
        <f>AVERAGE(AF29:AF30)</f>
        <v>5.3779710480700016E-2</v>
      </c>
    </row>
    <row r="30" spans="1:33" x14ac:dyDescent="0.2">
      <c r="A30" s="6"/>
      <c r="B30" s="11">
        <f>C29</f>
        <v>2.4812332068363724E-2</v>
      </c>
      <c r="C30" s="11">
        <f t="shared" ref="C30:AE30" si="17">D29</f>
        <v>4.4213892343222642E-2</v>
      </c>
      <c r="D30" s="11">
        <f t="shared" si="17"/>
        <v>2.6097884047141934E-2</v>
      </c>
      <c r="E30" s="11">
        <f t="shared" si="17"/>
        <v>5.0893749475499163E-2</v>
      </c>
      <c r="F30" s="11">
        <f t="shared" si="17"/>
        <v>3.23552708613149E-2</v>
      </c>
      <c r="G30" s="11">
        <f>J29</f>
        <v>6.4812337251267865E-2</v>
      </c>
      <c r="H30" s="1">
        <f t="shared" si="1"/>
        <v>4.0530911007801707E-2</v>
      </c>
      <c r="I30" s="13"/>
      <c r="J30" s="11">
        <f t="shared" si="17"/>
        <v>4.4598701833917107E-2</v>
      </c>
      <c r="K30" s="11">
        <f t="shared" si="17"/>
        <v>3.9274763364884634E-2</v>
      </c>
      <c r="L30" s="11">
        <f t="shared" si="17"/>
        <v>5.4264189388455467E-2</v>
      </c>
      <c r="M30" s="11">
        <f t="shared" si="17"/>
        <v>5.2676880702358299E-2</v>
      </c>
      <c r="N30" s="11">
        <f t="shared" si="17"/>
        <v>4.4556035916195495E-2</v>
      </c>
      <c r="O30" s="11">
        <f>R29</f>
        <v>3.948052568983345E-2</v>
      </c>
      <c r="P30" s="1">
        <f t="shared" si="2"/>
        <v>4.5808516149274066E-2</v>
      </c>
      <c r="Q30" s="13"/>
      <c r="R30" s="11">
        <f t="shared" si="17"/>
        <v>0</v>
      </c>
      <c r="S30" s="11">
        <f t="shared" si="17"/>
        <v>5.9481492013839496E-2</v>
      </c>
      <c r="T30" s="11">
        <f t="shared" si="17"/>
        <v>2.2652319550962922E-2</v>
      </c>
      <c r="U30" s="11">
        <f t="shared" si="17"/>
        <v>3.0892204222156987E-2</v>
      </c>
      <c r="V30" s="11">
        <f t="shared" si="17"/>
        <v>2.9841900055699155E-2</v>
      </c>
      <c r="W30" s="11">
        <f>Z29</f>
        <v>0</v>
      </c>
      <c r="X30" s="13">
        <f t="shared" si="3"/>
        <v>2.3811319307109755E-2</v>
      </c>
      <c r="Y30" s="1"/>
      <c r="Z30" s="11">
        <f t="shared" si="17"/>
        <v>5.9768012520368119E-2</v>
      </c>
      <c r="AA30" s="11">
        <f t="shared" si="17"/>
        <v>5.580898706025042E-2</v>
      </c>
      <c r="AB30" s="11">
        <f t="shared" si="17"/>
        <v>7.0346320346320365E-2</v>
      </c>
      <c r="AC30" s="11">
        <f t="shared" si="17"/>
        <v>4.0411869608232308E-2</v>
      </c>
      <c r="AD30" s="11">
        <f t="shared" si="17"/>
        <v>4.2563362868328868E-2</v>
      </c>
      <c r="AE30" s="11">
        <f t="shared" si="17"/>
        <v>5.3779710480700016E-2</v>
      </c>
      <c r="AF30" s="1">
        <f t="shared" si="4"/>
        <v>5.3779710480700016E-2</v>
      </c>
      <c r="AG30" s="13"/>
    </row>
    <row r="31" spans="1:33" ht="12" customHeight="1" x14ac:dyDescent="0.2">
      <c r="A31" s="6" t="s">
        <v>114</v>
      </c>
      <c r="B31" s="1">
        <v>4.8521867893595643E-3</v>
      </c>
      <c r="C31" s="1">
        <v>6.2325143347829689E-4</v>
      </c>
      <c r="D31" s="1">
        <v>3.4748623201279086E-3</v>
      </c>
      <c r="E31" s="1">
        <v>1.4536562170974425E-3</v>
      </c>
      <c r="F31" s="1">
        <v>2.9600921595703288E-3</v>
      </c>
      <c r="G31" s="1">
        <v>1.1967489754451217E-3</v>
      </c>
      <c r="H31" s="1">
        <f t="shared" si="1"/>
        <v>2.4267996491797767E-3</v>
      </c>
      <c r="I31" s="13">
        <f>AVERAGE(H31:H32)</f>
        <v>2.2867644806753152E-3</v>
      </c>
      <c r="J31" s="1">
        <v>3.1717647673060231E-3</v>
      </c>
      <c r="K31" s="1">
        <v>1.4424067587059549E-3</v>
      </c>
      <c r="L31" s="1">
        <v>1.7864284762031724E-3</v>
      </c>
      <c r="M31" s="1">
        <v>1.3070055497466416E-3</v>
      </c>
      <c r="N31" s="1">
        <v>5.8529867447064893E-3</v>
      </c>
      <c r="O31" s="1">
        <v>4.9285001662786841E-3</v>
      </c>
      <c r="P31" s="1">
        <f t="shared" si="2"/>
        <v>3.0815154104911605E-3</v>
      </c>
      <c r="Q31" s="13">
        <f>AVERAGE(P31:P32)</f>
        <v>3.1982013033650504E-3</v>
      </c>
      <c r="R31" s="1">
        <v>4.5719954817927001E-3</v>
      </c>
      <c r="S31" s="1"/>
      <c r="T31" s="1">
        <v>1.6509471222964753E-3</v>
      </c>
      <c r="U31" s="1">
        <v>1.5907709419174614E-3</v>
      </c>
      <c r="V31" s="1">
        <v>3.2560249806506711E-3</v>
      </c>
      <c r="W31" s="1">
        <v>2.1065710735657466E-3</v>
      </c>
      <c r="X31" s="13">
        <f t="shared" si="3"/>
        <v>2.6352619200446107E-3</v>
      </c>
      <c r="Y31" s="1">
        <f>AVERAGE(X31:X32)</f>
        <v>2.034657136558168E-3</v>
      </c>
      <c r="Z31" s="1"/>
      <c r="AA31" s="1">
        <v>1.5843675732770005E-3</v>
      </c>
      <c r="AB31" s="1">
        <v>6.9058329963606951E-3</v>
      </c>
      <c r="AC31" s="1">
        <v>3.3995416348357528E-3</v>
      </c>
      <c r="AD31" s="1">
        <v>2.6340498200906159E-3</v>
      </c>
      <c r="AE31" s="1">
        <v>8.7368637955903571E-4</v>
      </c>
      <c r="AF31" s="1">
        <f t="shared" si="4"/>
        <v>3.07949568082462E-3</v>
      </c>
      <c r="AG31" s="13">
        <f>AVERAGE(AF31:AF32)</f>
        <v>3.07949568082462E-3</v>
      </c>
    </row>
    <row r="32" spans="1:33" ht="12" customHeight="1" x14ac:dyDescent="0.2">
      <c r="A32" s="6"/>
      <c r="B32" s="11">
        <f>C31</f>
        <v>6.2325143347829689E-4</v>
      </c>
      <c r="C32" s="11">
        <f t="shared" ref="C32:AE32" si="18">D31</f>
        <v>3.4748623201279086E-3</v>
      </c>
      <c r="D32" s="11">
        <f t="shared" si="18"/>
        <v>1.4536562170974425E-3</v>
      </c>
      <c r="E32" s="11">
        <f t="shared" si="18"/>
        <v>2.9600921595703288E-3</v>
      </c>
      <c r="F32" s="11">
        <f t="shared" si="18"/>
        <v>1.1967489754451217E-3</v>
      </c>
      <c r="G32" s="11">
        <f>J31</f>
        <v>3.1717647673060231E-3</v>
      </c>
      <c r="H32" s="1">
        <f t="shared" si="1"/>
        <v>2.1467293121708538E-3</v>
      </c>
      <c r="I32" s="13"/>
      <c r="J32" s="11">
        <f t="shared" si="18"/>
        <v>1.4424067587059549E-3</v>
      </c>
      <c r="K32" s="11">
        <f t="shared" si="18"/>
        <v>1.7864284762031724E-3</v>
      </c>
      <c r="L32" s="11">
        <f t="shared" si="18"/>
        <v>1.3070055497466416E-3</v>
      </c>
      <c r="M32" s="11">
        <f t="shared" si="18"/>
        <v>5.8529867447064893E-3</v>
      </c>
      <c r="N32" s="11">
        <f t="shared" si="18"/>
        <v>4.9285001662786841E-3</v>
      </c>
      <c r="O32" s="11">
        <f>R31</f>
        <v>4.5719954817927001E-3</v>
      </c>
      <c r="P32" s="1">
        <f t="shared" si="2"/>
        <v>3.3148871962389408E-3</v>
      </c>
      <c r="Q32" s="13"/>
      <c r="R32" s="11">
        <f t="shared" si="18"/>
        <v>0</v>
      </c>
      <c r="S32" s="11">
        <f t="shared" si="18"/>
        <v>1.6509471222964753E-3</v>
      </c>
      <c r="T32" s="11">
        <f t="shared" si="18"/>
        <v>1.5907709419174614E-3</v>
      </c>
      <c r="U32" s="11">
        <f t="shared" si="18"/>
        <v>3.2560249806506711E-3</v>
      </c>
      <c r="V32" s="11">
        <f t="shared" si="18"/>
        <v>2.1065710735657466E-3</v>
      </c>
      <c r="W32" s="11">
        <f>Z31</f>
        <v>0</v>
      </c>
      <c r="X32" s="13">
        <f t="shared" si="3"/>
        <v>1.4340523530717256E-3</v>
      </c>
      <c r="Y32" s="1"/>
      <c r="Z32" s="11">
        <f t="shared" si="18"/>
        <v>1.5843675732770005E-3</v>
      </c>
      <c r="AA32" s="11">
        <f t="shared" si="18"/>
        <v>6.9058329963606951E-3</v>
      </c>
      <c r="AB32" s="11">
        <f t="shared" si="18"/>
        <v>3.3995416348357528E-3</v>
      </c>
      <c r="AC32" s="11">
        <f t="shared" si="18"/>
        <v>2.6340498200906159E-3</v>
      </c>
      <c r="AD32" s="11">
        <f t="shared" si="18"/>
        <v>8.7368637955903571E-4</v>
      </c>
      <c r="AE32" s="11">
        <f t="shared" si="18"/>
        <v>3.07949568082462E-3</v>
      </c>
      <c r="AF32" s="1">
        <f t="shared" si="4"/>
        <v>3.07949568082462E-3</v>
      </c>
      <c r="AG32" s="13"/>
    </row>
    <row r="33" spans="1:33" x14ac:dyDescent="0.2">
      <c r="A33" s="6" t="s">
        <v>119</v>
      </c>
      <c r="B33" s="1">
        <v>4.3762229626103976E-3</v>
      </c>
      <c r="C33" s="1">
        <v>2.4237555746378219E-4</v>
      </c>
      <c r="D33" s="1">
        <v>5.0879374666903537E-3</v>
      </c>
      <c r="E33" s="1">
        <v>2.3027544747478181E-3</v>
      </c>
      <c r="F33" s="1">
        <v>4.1731196167138392E-3</v>
      </c>
      <c r="G33" s="1">
        <v>1.7649894961600718E-3</v>
      </c>
      <c r="H33" s="1">
        <f t="shared" si="1"/>
        <v>2.9912332623977106E-3</v>
      </c>
      <c r="I33" s="13">
        <f>AVERAGE(H33:H34)</f>
        <v>2.8478971685130909E-3</v>
      </c>
      <c r="J33" s="1">
        <v>2.6561898359949618E-3</v>
      </c>
      <c r="K33" s="1">
        <v>0</v>
      </c>
      <c r="L33" s="1">
        <v>1.3998133582189041E-4</v>
      </c>
      <c r="M33" s="1">
        <v>0</v>
      </c>
      <c r="N33" s="1">
        <v>3.8425595750436513E-3</v>
      </c>
      <c r="O33" s="1">
        <v>4.8087795144662457E-3</v>
      </c>
      <c r="P33" s="1">
        <f t="shared" si="2"/>
        <v>1.9079183768877916E-3</v>
      </c>
      <c r="Q33" s="13">
        <f>AVERAGE(P33:P34)</f>
        <v>2.0063100843795961E-3</v>
      </c>
      <c r="R33" s="1">
        <v>3.8368903258966195E-3</v>
      </c>
      <c r="S33" s="1"/>
      <c r="T33" s="1">
        <v>3.8074474303679477E-3</v>
      </c>
      <c r="U33" s="1">
        <v>1.8817656264145575E-3</v>
      </c>
      <c r="V33" s="1">
        <v>4.6438389068296452E-3</v>
      </c>
      <c r="W33" s="1">
        <v>1.242519887459118E-3</v>
      </c>
      <c r="X33" s="13">
        <f t="shared" si="3"/>
        <v>3.0824924353935776E-3</v>
      </c>
      <c r="Y33" s="1">
        <f>AVERAGE(X33:X34)</f>
        <v>2.5058772052860613E-3</v>
      </c>
      <c r="Z33" s="1"/>
      <c r="AA33" s="1">
        <v>0</v>
      </c>
      <c r="AB33" s="1">
        <v>5.1999090173877865E-3</v>
      </c>
      <c r="AC33" s="1">
        <v>1.3050674815380694E-3</v>
      </c>
      <c r="AD33" s="1">
        <v>5.6083835882312174E-4</v>
      </c>
      <c r="AE33" s="1">
        <v>2.3078508139295282E-4</v>
      </c>
      <c r="AF33" s="1">
        <f t="shared" si="4"/>
        <v>1.4593199878283861E-3</v>
      </c>
      <c r="AG33" s="13">
        <f>AVERAGE(AF33:AF34)</f>
        <v>1.4593199878283861E-3</v>
      </c>
    </row>
    <row r="34" spans="1:33" x14ac:dyDescent="0.2">
      <c r="A34" s="6"/>
      <c r="B34" s="11">
        <f>C33</f>
        <v>2.4237555746378219E-4</v>
      </c>
      <c r="C34" s="11">
        <f t="shared" ref="C34:AE34" si="19">D33</f>
        <v>5.0879374666903537E-3</v>
      </c>
      <c r="D34" s="11">
        <f t="shared" si="19"/>
        <v>2.3027544747478181E-3</v>
      </c>
      <c r="E34" s="11">
        <f t="shared" si="19"/>
        <v>4.1731196167138392E-3</v>
      </c>
      <c r="F34" s="11">
        <f t="shared" si="19"/>
        <v>1.7649894961600718E-3</v>
      </c>
      <c r="G34" s="11">
        <f>J33</f>
        <v>2.6561898359949618E-3</v>
      </c>
      <c r="H34" s="1">
        <f t="shared" si="1"/>
        <v>2.7045610746284712E-3</v>
      </c>
      <c r="I34" s="13"/>
      <c r="J34" s="11">
        <f t="shared" si="19"/>
        <v>0</v>
      </c>
      <c r="K34" s="11">
        <f t="shared" si="19"/>
        <v>1.3998133582189041E-4</v>
      </c>
      <c r="L34" s="11">
        <f t="shared" si="19"/>
        <v>0</v>
      </c>
      <c r="M34" s="11">
        <f t="shared" si="19"/>
        <v>3.8425595750436513E-3</v>
      </c>
      <c r="N34" s="11">
        <f t="shared" si="19"/>
        <v>4.8087795144662457E-3</v>
      </c>
      <c r="O34" s="11">
        <f>R33</f>
        <v>3.8368903258966195E-3</v>
      </c>
      <c r="P34" s="1">
        <f t="shared" si="2"/>
        <v>2.104701791871401E-3</v>
      </c>
      <c r="Q34" s="13"/>
      <c r="R34" s="11">
        <f t="shared" si="19"/>
        <v>0</v>
      </c>
      <c r="S34" s="11">
        <f t="shared" si="19"/>
        <v>3.8074474303679477E-3</v>
      </c>
      <c r="T34" s="11">
        <f t="shared" si="19"/>
        <v>1.8817656264145575E-3</v>
      </c>
      <c r="U34" s="11">
        <f t="shared" si="19"/>
        <v>4.6438389068296452E-3</v>
      </c>
      <c r="V34" s="11">
        <f t="shared" si="19"/>
        <v>1.242519887459118E-3</v>
      </c>
      <c r="W34" s="11">
        <f>Z33</f>
        <v>0</v>
      </c>
      <c r="X34" s="13">
        <f t="shared" si="3"/>
        <v>1.9292619751785447E-3</v>
      </c>
      <c r="Y34" s="1"/>
      <c r="Z34" s="11">
        <f t="shared" si="19"/>
        <v>0</v>
      </c>
      <c r="AA34" s="11">
        <f t="shared" si="19"/>
        <v>5.1999090173877865E-3</v>
      </c>
      <c r="AB34" s="11">
        <f t="shared" si="19"/>
        <v>1.3050674815380694E-3</v>
      </c>
      <c r="AC34" s="11">
        <f t="shared" si="19"/>
        <v>5.6083835882312174E-4</v>
      </c>
      <c r="AD34" s="11">
        <f t="shared" si="19"/>
        <v>2.3078508139295282E-4</v>
      </c>
      <c r="AE34" s="11">
        <f t="shared" si="19"/>
        <v>1.4593199878283861E-3</v>
      </c>
      <c r="AF34" s="1">
        <f t="shared" si="4"/>
        <v>1.4593199878283863E-3</v>
      </c>
      <c r="AG34" s="13"/>
    </row>
    <row r="35" spans="1:33" x14ac:dyDescent="0.2">
      <c r="A35" s="6" t="s">
        <v>121</v>
      </c>
      <c r="B35" s="1">
        <v>2.6521762123856381E-2</v>
      </c>
      <c r="C35" s="1">
        <v>1.8766793163624257E-2</v>
      </c>
      <c r="D35" s="1">
        <v>3.8614318706697487E-2</v>
      </c>
      <c r="E35" s="1">
        <v>3.333220120232315E-2</v>
      </c>
      <c r="F35" s="1">
        <v>3.7741175034521707E-2</v>
      </c>
      <c r="G35" s="1">
        <v>5.9053965630058242E-2</v>
      </c>
      <c r="H35" s="1">
        <f t="shared" si="1"/>
        <v>3.5671702643513534E-2</v>
      </c>
      <c r="I35" s="13">
        <f>AVERAGE(H35:H36)</f>
        <v>3.5205156253216713E-2</v>
      </c>
      <c r="J35" s="1">
        <v>2.0923205440294478E-2</v>
      </c>
      <c r="K35" s="1">
        <v>7.1476406346589741E-3</v>
      </c>
      <c r="L35" s="1">
        <v>1.0671910411945073E-2</v>
      </c>
      <c r="M35" s="1">
        <v>6.3674629346631281E-3</v>
      </c>
      <c r="N35" s="1">
        <v>1.669207879398962E-2</v>
      </c>
      <c r="O35" s="1">
        <v>1.6395078150981041E-2</v>
      </c>
      <c r="P35" s="1">
        <f t="shared" si="2"/>
        <v>1.303289606108872E-2</v>
      </c>
      <c r="Q35" s="13">
        <f>AVERAGE(P35:P36)</f>
        <v>1.3717234384826645E-2</v>
      </c>
      <c r="R35" s="1">
        <v>2.9135265325149564E-2</v>
      </c>
      <c r="S35" s="1"/>
      <c r="T35" s="1">
        <v>6.6985797115187068E-2</v>
      </c>
      <c r="U35" s="1">
        <v>3.5372020537758217E-2</v>
      </c>
      <c r="V35" s="1">
        <v>4.0513491152686203E-2</v>
      </c>
      <c r="W35" s="1">
        <v>4.3573887087790447E-2</v>
      </c>
      <c r="X35" s="13">
        <f t="shared" si="3"/>
        <v>4.3116092243714307E-2</v>
      </c>
      <c r="Y35" s="1">
        <f>AVERAGE(X35:X36)</f>
        <v>3.7095145779642312E-2</v>
      </c>
      <c r="Z35" s="1"/>
      <c r="AA35" s="1">
        <v>9.7445046275126089E-3</v>
      </c>
      <c r="AB35" s="1">
        <v>2.6214365143550251E-2</v>
      </c>
      <c r="AC35" s="1">
        <v>1.6462948815889947E-2</v>
      </c>
      <c r="AD35" s="1">
        <v>1.8589586050878751E-2</v>
      </c>
      <c r="AE35" s="1">
        <v>1.0945806717494339E-2</v>
      </c>
      <c r="AF35" s="1">
        <f t="shared" si="4"/>
        <v>1.639144227106518E-2</v>
      </c>
      <c r="AG35" s="13">
        <f>AVERAGE(AF35:AF36)</f>
        <v>1.639144227106518E-2</v>
      </c>
    </row>
    <row r="36" spans="1:33" x14ac:dyDescent="0.2">
      <c r="A36" s="6"/>
      <c r="B36" s="11">
        <f>C35</f>
        <v>1.8766793163624257E-2</v>
      </c>
      <c r="C36" s="11">
        <f t="shared" ref="C36:AE36" si="20">D35</f>
        <v>3.8614318706697487E-2</v>
      </c>
      <c r="D36" s="11">
        <f t="shared" si="20"/>
        <v>3.333220120232315E-2</v>
      </c>
      <c r="E36" s="11">
        <f t="shared" si="20"/>
        <v>3.7741175034521707E-2</v>
      </c>
      <c r="F36" s="11">
        <f t="shared" si="20"/>
        <v>5.9053965630058242E-2</v>
      </c>
      <c r="G36" s="11">
        <f>J35</f>
        <v>2.0923205440294478E-2</v>
      </c>
      <c r="H36" s="1">
        <f t="shared" si="1"/>
        <v>3.4738609862919885E-2</v>
      </c>
      <c r="I36" s="13"/>
      <c r="J36" s="11">
        <f t="shared" si="20"/>
        <v>7.1476406346589741E-3</v>
      </c>
      <c r="K36" s="11">
        <f t="shared" si="20"/>
        <v>1.0671910411945073E-2</v>
      </c>
      <c r="L36" s="11">
        <f t="shared" si="20"/>
        <v>6.3674629346631281E-3</v>
      </c>
      <c r="M36" s="11">
        <f t="shared" si="20"/>
        <v>1.669207879398962E-2</v>
      </c>
      <c r="N36" s="11">
        <f t="shared" si="20"/>
        <v>1.6395078150981041E-2</v>
      </c>
      <c r="O36" s="11">
        <f>R35</f>
        <v>2.9135265325149564E-2</v>
      </c>
      <c r="P36" s="1">
        <f t="shared" si="2"/>
        <v>1.4401572708564568E-2</v>
      </c>
      <c r="Q36" s="13"/>
      <c r="R36" s="11">
        <f t="shared" si="20"/>
        <v>0</v>
      </c>
      <c r="S36" s="11">
        <f t="shared" si="20"/>
        <v>6.6985797115187068E-2</v>
      </c>
      <c r="T36" s="11">
        <f t="shared" si="20"/>
        <v>3.5372020537758217E-2</v>
      </c>
      <c r="U36" s="11">
        <f t="shared" si="20"/>
        <v>4.0513491152686203E-2</v>
      </c>
      <c r="V36" s="11">
        <f t="shared" si="20"/>
        <v>4.3573887087790447E-2</v>
      </c>
      <c r="W36" s="11">
        <f>Z35</f>
        <v>0</v>
      </c>
      <c r="X36" s="13">
        <f t="shared" si="3"/>
        <v>3.107419931557032E-2</v>
      </c>
      <c r="Y36" s="1"/>
      <c r="Z36" s="11">
        <f t="shared" si="20"/>
        <v>9.7445046275126089E-3</v>
      </c>
      <c r="AA36" s="11">
        <f t="shared" si="20"/>
        <v>2.6214365143550251E-2</v>
      </c>
      <c r="AB36" s="11">
        <f t="shared" si="20"/>
        <v>1.6462948815889947E-2</v>
      </c>
      <c r="AC36" s="11">
        <f t="shared" si="20"/>
        <v>1.8589586050878751E-2</v>
      </c>
      <c r="AD36" s="11">
        <f t="shared" si="20"/>
        <v>1.0945806717494339E-2</v>
      </c>
      <c r="AE36" s="11">
        <f t="shared" si="20"/>
        <v>1.639144227106518E-2</v>
      </c>
      <c r="AF36" s="1">
        <f t="shared" si="4"/>
        <v>1.639144227106518E-2</v>
      </c>
      <c r="AG36" s="13"/>
    </row>
    <row r="37" spans="1:33" x14ac:dyDescent="0.2">
      <c r="A37" s="6" t="s">
        <v>43</v>
      </c>
      <c r="B37" s="1">
        <v>4.4026653974297957E-3</v>
      </c>
      <c r="C37" s="1">
        <v>2.617656020608847E-3</v>
      </c>
      <c r="D37" s="1">
        <v>5.0097708296322607E-3</v>
      </c>
      <c r="E37" s="1">
        <v>2.6695649220527806E-3</v>
      </c>
      <c r="F37" s="1">
        <v>3.5780495433981548E-3</v>
      </c>
      <c r="G37" s="1">
        <v>2.0146709370802767E-3</v>
      </c>
      <c r="H37" s="1">
        <f t="shared" si="1"/>
        <v>3.382062941700353E-3</v>
      </c>
      <c r="I37" s="13">
        <f>AVERAGE(H37:H38)</f>
        <v>3.3066806598288073E-3</v>
      </c>
      <c r="J37" s="1">
        <v>3.4980780149712525E-3</v>
      </c>
      <c r="K37" s="1">
        <v>2.3439109828971771E-3</v>
      </c>
      <c r="L37" s="1">
        <v>1.5864551393147579E-3</v>
      </c>
      <c r="M37" s="1">
        <v>1.3405185125606584E-3</v>
      </c>
      <c r="N37" s="1">
        <v>4.1868529129675631E-3</v>
      </c>
      <c r="O37" s="1">
        <v>2.7136681077485863E-3</v>
      </c>
      <c r="P37" s="1">
        <f t="shared" si="2"/>
        <v>2.6115806117433323E-3</v>
      </c>
      <c r="Q37" s="13">
        <f>AVERAGE(P37:P38)</f>
        <v>2.5023562832992277E-3</v>
      </c>
      <c r="R37" s="1">
        <v>2.1873860736419978E-3</v>
      </c>
      <c r="S37" s="1"/>
      <c r="T37" s="1">
        <v>8.5707063525917501E-3</v>
      </c>
      <c r="U37" s="1">
        <v>4.7141138888529633E-3</v>
      </c>
      <c r="V37" s="1">
        <v>3.9499319437401583E-3</v>
      </c>
      <c r="W37" s="1">
        <v>2.4707579371313496E-3</v>
      </c>
      <c r="X37" s="13">
        <f t="shared" si="3"/>
        <v>4.3785792391916444E-3</v>
      </c>
      <c r="Y37" s="1">
        <f>AVERAGE(X37:X38)</f>
        <v>3.8314154631221738E-3</v>
      </c>
      <c r="Z37" s="1"/>
      <c r="AA37" s="1">
        <v>2.6921367708527886E-3</v>
      </c>
      <c r="AB37" s="1">
        <v>4.5112211888394668E-3</v>
      </c>
      <c r="AC37" s="1">
        <v>3.3486121721415826E-3</v>
      </c>
      <c r="AD37" s="1">
        <v>1.3233264646388264E-3</v>
      </c>
      <c r="AE37" s="1">
        <v>1.0879868122810634E-3</v>
      </c>
      <c r="AF37" s="1">
        <f t="shared" si="4"/>
        <v>2.5926566817507457E-3</v>
      </c>
      <c r="AG37" s="13">
        <f>AVERAGE(AF37:AF38)</f>
        <v>2.5926566817507457E-3</v>
      </c>
    </row>
    <row r="38" spans="1:33" x14ac:dyDescent="0.2">
      <c r="A38" s="6"/>
      <c r="B38" s="11">
        <f>C37</f>
        <v>2.617656020608847E-3</v>
      </c>
      <c r="C38" s="11">
        <f t="shared" ref="C38:AE38" si="21">D37</f>
        <v>5.0097708296322607E-3</v>
      </c>
      <c r="D38" s="11">
        <f t="shared" si="21"/>
        <v>2.6695649220527806E-3</v>
      </c>
      <c r="E38" s="11">
        <f t="shared" si="21"/>
        <v>3.5780495433981548E-3</v>
      </c>
      <c r="F38" s="11">
        <f t="shared" si="21"/>
        <v>2.0146709370802767E-3</v>
      </c>
      <c r="G38" s="11">
        <f>J37</f>
        <v>3.4980780149712525E-3</v>
      </c>
      <c r="H38" s="1">
        <f t="shared" si="1"/>
        <v>3.2312983779572619E-3</v>
      </c>
      <c r="I38" s="13"/>
      <c r="J38" s="11">
        <f t="shared" si="21"/>
        <v>2.3439109828971771E-3</v>
      </c>
      <c r="K38" s="11">
        <f t="shared" si="21"/>
        <v>1.5864551393147579E-3</v>
      </c>
      <c r="L38" s="11">
        <f t="shared" si="21"/>
        <v>1.3405185125606584E-3</v>
      </c>
      <c r="M38" s="11">
        <f t="shared" si="21"/>
        <v>4.1868529129675631E-3</v>
      </c>
      <c r="N38" s="11">
        <f t="shared" si="21"/>
        <v>2.7136681077485863E-3</v>
      </c>
      <c r="O38" s="11">
        <f>R37</f>
        <v>2.1873860736419978E-3</v>
      </c>
      <c r="P38" s="1">
        <f t="shared" si="2"/>
        <v>2.3931319548551235E-3</v>
      </c>
      <c r="Q38" s="13"/>
      <c r="R38" s="11">
        <f t="shared" si="21"/>
        <v>0</v>
      </c>
      <c r="S38" s="11">
        <f t="shared" si="21"/>
        <v>8.5707063525917501E-3</v>
      </c>
      <c r="T38" s="11">
        <f t="shared" si="21"/>
        <v>4.7141138888529633E-3</v>
      </c>
      <c r="U38" s="11">
        <f t="shared" si="21"/>
        <v>3.9499319437401583E-3</v>
      </c>
      <c r="V38" s="11">
        <f t="shared" si="21"/>
        <v>2.4707579371313496E-3</v>
      </c>
      <c r="W38" s="11">
        <f>Z37</f>
        <v>0</v>
      </c>
      <c r="X38" s="13">
        <f t="shared" si="3"/>
        <v>3.2842516870527035E-3</v>
      </c>
      <c r="Y38" s="1"/>
      <c r="Z38" s="11">
        <f t="shared" si="21"/>
        <v>2.6921367708527886E-3</v>
      </c>
      <c r="AA38" s="11">
        <f t="shared" si="21"/>
        <v>4.5112211888394668E-3</v>
      </c>
      <c r="AB38" s="11">
        <f t="shared" si="21"/>
        <v>3.3486121721415826E-3</v>
      </c>
      <c r="AC38" s="11">
        <f t="shared" si="21"/>
        <v>1.3233264646388264E-3</v>
      </c>
      <c r="AD38" s="11">
        <f t="shared" si="21"/>
        <v>1.0879868122810634E-3</v>
      </c>
      <c r="AE38" s="11">
        <f t="shared" si="21"/>
        <v>2.5926566817507457E-3</v>
      </c>
      <c r="AF38" s="1">
        <f t="shared" si="4"/>
        <v>2.5926566817507453E-3</v>
      </c>
      <c r="AG38" s="13"/>
    </row>
    <row r="39" spans="1:33" x14ac:dyDescent="0.2">
      <c r="A39" s="6" t="s">
        <v>133</v>
      </c>
      <c r="B39" s="1">
        <v>1.3340208366386381E-2</v>
      </c>
      <c r="C39" s="1">
        <v>5.0490291127669618E-2</v>
      </c>
      <c r="D39" s="1">
        <v>4.5677740273583269E-2</v>
      </c>
      <c r="E39" s="1">
        <v>6.3580477532860113E-2</v>
      </c>
      <c r="F39" s="1">
        <v>3.9869694912150873E-2</v>
      </c>
      <c r="G39" s="1">
        <v>2.0189757895099365E-2</v>
      </c>
      <c r="H39" s="1">
        <f t="shared" si="1"/>
        <v>3.8858028351291603E-2</v>
      </c>
      <c r="I39" s="13">
        <f>AVERAGE(H39:H40)</f>
        <v>4.497581432278254E-2</v>
      </c>
      <c r="J39" s="1">
        <v>8.6753640024277698E-2</v>
      </c>
      <c r="K39" s="1">
        <v>9.1264424067586988E-2</v>
      </c>
      <c r="L39" s="1">
        <v>0.15323290227969616</v>
      </c>
      <c r="M39" s="1">
        <v>0.11104855358052501</v>
      </c>
      <c r="N39" s="1">
        <v>5.3303986425005584E-2</v>
      </c>
      <c r="O39" s="1">
        <v>0.12959760558696365</v>
      </c>
      <c r="P39" s="1">
        <f t="shared" si="2"/>
        <v>0.1042001853273425</v>
      </c>
      <c r="Q39" s="13">
        <f>AVERAGE(P39:P40)</f>
        <v>0.10017260627874477</v>
      </c>
      <c r="R39" s="1">
        <v>3.8422691441104939E-2</v>
      </c>
      <c r="S39" s="1"/>
      <c r="T39" s="1">
        <v>2.0008847180751067E-2</v>
      </c>
      <c r="U39" s="1">
        <v>9.141759677189891E-2</v>
      </c>
      <c r="V39" s="1">
        <v>3.4882169259921533E-2</v>
      </c>
      <c r="W39" s="1">
        <v>4.2938345306273995E-2</v>
      </c>
      <c r="X39" s="13">
        <f t="shared" si="3"/>
        <v>4.5533929991990088E-2</v>
      </c>
      <c r="Y39" s="1">
        <f>AVERAGE(X39:X40)</f>
        <v>3.8537544872565499E-2</v>
      </c>
      <c r="Z39" s="1"/>
      <c r="AA39" s="1">
        <v>0.16447796376564211</v>
      </c>
      <c r="AB39" s="1">
        <v>2.9019662353416853E-2</v>
      </c>
      <c r="AC39" s="1">
        <v>5.9269162210338656E-2</v>
      </c>
      <c r="AD39" s="1">
        <v>0.25833223056127941</v>
      </c>
      <c r="AE39" s="1">
        <v>4.3659592004945361E-2</v>
      </c>
      <c r="AF39" s="1">
        <f t="shared" si="4"/>
        <v>0.11095172217912448</v>
      </c>
      <c r="AG39" s="13">
        <f>AVERAGE(AF39:AF40)</f>
        <v>0.11095172217912448</v>
      </c>
    </row>
    <row r="40" spans="1:33" x14ac:dyDescent="0.2">
      <c r="A40" s="6"/>
      <c r="B40" s="11">
        <f>C39</f>
        <v>5.0490291127669618E-2</v>
      </c>
      <c r="C40" s="11">
        <f t="shared" ref="C40:AE40" si="22">D39</f>
        <v>4.5677740273583269E-2</v>
      </c>
      <c r="D40" s="11">
        <f t="shared" si="22"/>
        <v>6.3580477532860113E-2</v>
      </c>
      <c r="E40" s="11">
        <f t="shared" si="22"/>
        <v>3.9869694912150873E-2</v>
      </c>
      <c r="F40" s="11">
        <f t="shared" si="22"/>
        <v>2.0189757895099365E-2</v>
      </c>
      <c r="G40" s="11">
        <f>J39</f>
        <v>8.6753640024277698E-2</v>
      </c>
      <c r="H40" s="1">
        <f t="shared" si="1"/>
        <v>5.1093600294273483E-2</v>
      </c>
      <c r="I40" s="13"/>
      <c r="J40" s="11">
        <f t="shared" si="22"/>
        <v>9.1264424067586988E-2</v>
      </c>
      <c r="K40" s="11">
        <f t="shared" si="22"/>
        <v>0.15323290227969616</v>
      </c>
      <c r="L40" s="11">
        <f t="shared" si="22"/>
        <v>0.11104855358052501</v>
      </c>
      <c r="M40" s="11">
        <f t="shared" si="22"/>
        <v>5.3303986425005584E-2</v>
      </c>
      <c r="N40" s="11">
        <f t="shared" si="22"/>
        <v>0.12959760558696365</v>
      </c>
      <c r="O40" s="11">
        <f>R39</f>
        <v>3.8422691441104939E-2</v>
      </c>
      <c r="P40" s="1">
        <f t="shared" si="2"/>
        <v>9.6145027230147062E-2</v>
      </c>
      <c r="Q40" s="13"/>
      <c r="R40" s="11">
        <f t="shared" si="22"/>
        <v>0</v>
      </c>
      <c r="S40" s="11">
        <f t="shared" si="22"/>
        <v>2.0008847180751067E-2</v>
      </c>
      <c r="T40" s="11">
        <f t="shared" si="22"/>
        <v>9.141759677189891E-2</v>
      </c>
      <c r="U40" s="11">
        <f t="shared" si="22"/>
        <v>3.4882169259921533E-2</v>
      </c>
      <c r="V40" s="11">
        <f t="shared" si="22"/>
        <v>4.2938345306273995E-2</v>
      </c>
      <c r="W40" s="11">
        <f>Z39</f>
        <v>0</v>
      </c>
      <c r="X40" s="13">
        <f t="shared" si="3"/>
        <v>3.1541159753140917E-2</v>
      </c>
      <c r="Y40" s="1"/>
      <c r="Z40" s="11">
        <f t="shared" si="22"/>
        <v>0.16447796376564211</v>
      </c>
      <c r="AA40" s="11">
        <f t="shared" si="22"/>
        <v>2.9019662353416853E-2</v>
      </c>
      <c r="AB40" s="11">
        <f t="shared" si="22"/>
        <v>5.9269162210338656E-2</v>
      </c>
      <c r="AC40" s="11">
        <f t="shared" si="22"/>
        <v>0.25833223056127941</v>
      </c>
      <c r="AD40" s="11">
        <f t="shared" si="22"/>
        <v>4.3659592004945361E-2</v>
      </c>
      <c r="AE40" s="11">
        <f t="shared" si="22"/>
        <v>0.11095172217912448</v>
      </c>
      <c r="AF40" s="1">
        <f t="shared" si="4"/>
        <v>0.11095172217912448</v>
      </c>
      <c r="AG40" s="13"/>
    </row>
    <row r="41" spans="1:33" x14ac:dyDescent="0.2">
      <c r="A41" s="6" t="s">
        <v>134</v>
      </c>
      <c r="B41" s="1">
        <v>0</v>
      </c>
      <c r="C41" s="1">
        <v>0</v>
      </c>
      <c r="D41" s="1">
        <v>8.5272694972464023E-5</v>
      </c>
      <c r="E41" s="1">
        <v>0</v>
      </c>
      <c r="F41" s="1">
        <v>3.8908427870640923E-4</v>
      </c>
      <c r="G41" s="1">
        <v>6.026793401522196E-5</v>
      </c>
      <c r="H41" s="1">
        <f t="shared" si="1"/>
        <v>8.9104151282349216E-5</v>
      </c>
      <c r="I41" s="13">
        <f>AVERAGE(H41:H42)</f>
        <v>1.3478800595548125E-4</v>
      </c>
      <c r="J41" s="1">
        <v>5.4820625607758424E-4</v>
      </c>
      <c r="K41" s="1">
        <v>2.260199876365135E-3</v>
      </c>
      <c r="L41" s="1">
        <v>0</v>
      </c>
      <c r="M41" s="1">
        <v>6.7025925628032924E-5</v>
      </c>
      <c r="N41" s="1">
        <v>4.7770700636942682E-3</v>
      </c>
      <c r="O41" s="1">
        <v>7.0701696042567343E-3</v>
      </c>
      <c r="P41" s="1">
        <f t="shared" si="2"/>
        <v>2.4537786210036259E-3</v>
      </c>
      <c r="Q41" s="13">
        <f>AVERAGE(P41:P42)</f>
        <v>2.4115810373950418E-3</v>
      </c>
      <c r="R41" s="1">
        <v>4.1835252774573728E-5</v>
      </c>
      <c r="S41" s="1"/>
      <c r="T41" s="1">
        <v>6.3194148221874653E-5</v>
      </c>
      <c r="U41" s="1">
        <v>0</v>
      </c>
      <c r="V41" s="1">
        <v>0</v>
      </c>
      <c r="W41" s="1">
        <v>0</v>
      </c>
      <c r="X41" s="13">
        <f t="shared" si="3"/>
        <v>2.1005880199289675E-5</v>
      </c>
      <c r="Y41" s="1">
        <f>AVERAGE(X41:X42)</f>
        <v>1.5769119118134391E-5</v>
      </c>
      <c r="Z41" s="1"/>
      <c r="AA41" s="1">
        <v>8.3726741677239851E-5</v>
      </c>
      <c r="AB41" s="1">
        <v>3.4560756166599274E-3</v>
      </c>
      <c r="AC41" s="1">
        <v>1.6106442577030811E-3</v>
      </c>
      <c r="AD41" s="1">
        <v>0</v>
      </c>
      <c r="AE41" s="1">
        <v>0</v>
      </c>
      <c r="AF41" s="1">
        <f t="shared" si="4"/>
        <v>1.0300893232080496E-3</v>
      </c>
      <c r="AG41" s="13">
        <f>AVERAGE(AF41:AF42)</f>
        <v>1.0300893232080496E-3</v>
      </c>
    </row>
    <row r="42" spans="1:33" x14ac:dyDescent="0.2">
      <c r="A42" s="6"/>
      <c r="B42" s="11">
        <f>C41</f>
        <v>0</v>
      </c>
      <c r="C42" s="11">
        <f t="shared" ref="C42:AE42" si="23">D41</f>
        <v>8.5272694972464023E-5</v>
      </c>
      <c r="D42" s="11">
        <f t="shared" si="23"/>
        <v>0</v>
      </c>
      <c r="E42" s="11">
        <f t="shared" si="23"/>
        <v>3.8908427870640923E-4</v>
      </c>
      <c r="F42" s="11">
        <f t="shared" si="23"/>
        <v>6.026793401522196E-5</v>
      </c>
      <c r="G42" s="11">
        <f>J41</f>
        <v>5.4820625607758424E-4</v>
      </c>
      <c r="H42" s="1">
        <f t="shared" si="1"/>
        <v>1.8047186062861327E-4</v>
      </c>
      <c r="I42" s="13"/>
      <c r="J42" s="11">
        <f t="shared" si="23"/>
        <v>2.260199876365135E-3</v>
      </c>
      <c r="K42" s="11">
        <f t="shared" si="23"/>
        <v>0</v>
      </c>
      <c r="L42" s="11">
        <f t="shared" si="23"/>
        <v>6.7025925628032924E-5</v>
      </c>
      <c r="M42" s="11">
        <f t="shared" si="23"/>
        <v>4.7770700636942682E-3</v>
      </c>
      <c r="N42" s="11">
        <f t="shared" si="23"/>
        <v>7.0701696042567343E-3</v>
      </c>
      <c r="O42" s="11">
        <f>R41</f>
        <v>4.1835252774573728E-5</v>
      </c>
      <c r="P42" s="1">
        <f t="shared" si="2"/>
        <v>2.3693834537864577E-3</v>
      </c>
      <c r="Q42" s="13"/>
      <c r="R42" s="11">
        <f t="shared" si="23"/>
        <v>0</v>
      </c>
      <c r="S42" s="11">
        <f t="shared" si="23"/>
        <v>6.3194148221874653E-5</v>
      </c>
      <c r="T42" s="11">
        <f t="shared" si="23"/>
        <v>0</v>
      </c>
      <c r="U42" s="11">
        <f t="shared" si="23"/>
        <v>0</v>
      </c>
      <c r="V42" s="11">
        <f t="shared" si="23"/>
        <v>0</v>
      </c>
      <c r="W42" s="11">
        <f>Z41</f>
        <v>0</v>
      </c>
      <c r="X42" s="13">
        <f t="shared" si="3"/>
        <v>1.0532358036979108E-5</v>
      </c>
      <c r="Y42" s="1"/>
      <c r="Z42" s="11">
        <f t="shared" si="23"/>
        <v>8.3726741677239851E-5</v>
      </c>
      <c r="AA42" s="11">
        <f t="shared" si="23"/>
        <v>3.4560756166599274E-3</v>
      </c>
      <c r="AB42" s="11">
        <f t="shared" si="23"/>
        <v>1.6106442577030811E-3</v>
      </c>
      <c r="AC42" s="11">
        <f t="shared" si="23"/>
        <v>0</v>
      </c>
      <c r="AD42" s="11">
        <f t="shared" si="23"/>
        <v>0</v>
      </c>
      <c r="AE42" s="11">
        <f t="shared" si="23"/>
        <v>1.0300893232080496E-3</v>
      </c>
      <c r="AF42" s="1">
        <f t="shared" si="4"/>
        <v>1.0300893232080496E-3</v>
      </c>
      <c r="AG42" s="13"/>
    </row>
    <row r="43" spans="1:33" x14ac:dyDescent="0.2">
      <c r="A43" s="6" t="s">
        <v>138</v>
      </c>
      <c r="B43" s="1">
        <v>3.6358347876672484E-4</v>
      </c>
      <c r="C43" s="1">
        <v>2.2298551286667953E-3</v>
      </c>
      <c r="D43" s="1">
        <v>7.0349973352282821E-4</v>
      </c>
      <c r="E43" s="1">
        <v>1.0121251231192474E-3</v>
      </c>
      <c r="F43" s="1">
        <v>2.5786369843679669E-3</v>
      </c>
      <c r="G43" s="1">
        <v>1.6616730378482627E-3</v>
      </c>
      <c r="H43" s="1">
        <f t="shared" si="1"/>
        <v>1.4248955810486376E-3</v>
      </c>
      <c r="I43" s="13">
        <f>AVERAGE(H43:H44)</f>
        <v>1.5343677989013503E-3</v>
      </c>
      <c r="J43" s="1">
        <v>1.6772500929992757E-3</v>
      </c>
      <c r="K43" s="1">
        <v>5.1063774984545637E-3</v>
      </c>
      <c r="L43" s="1">
        <v>3.9728036261831752E-3</v>
      </c>
      <c r="M43" s="1">
        <v>7.6476581141585558E-3</v>
      </c>
      <c r="N43" s="1">
        <v>5.0783267343776899E-3</v>
      </c>
      <c r="O43" s="1">
        <v>5.0947788493515139E-3</v>
      </c>
      <c r="P43" s="1">
        <f t="shared" si="2"/>
        <v>4.7628658192541288E-3</v>
      </c>
      <c r="Q43" s="13">
        <f>AVERAGE(P43:P44)</f>
        <v>4.6435145658346357E-3</v>
      </c>
      <c r="R43" s="1">
        <v>2.450350519653604E-4</v>
      </c>
      <c r="S43" s="1"/>
      <c r="T43" s="1">
        <v>2.3697805583202996E-5</v>
      </c>
      <c r="U43" s="1">
        <v>5.108573350060139E-4</v>
      </c>
      <c r="V43" s="1">
        <v>1.5212575729269531E-3</v>
      </c>
      <c r="W43" s="1">
        <v>1.5852839943443918E-3</v>
      </c>
      <c r="X43" s="13">
        <f t="shared" si="3"/>
        <v>7.7722635196518443E-4</v>
      </c>
      <c r="Y43" s="1">
        <f>AVERAGE(X43:X44)</f>
        <v>6.9203790163763906E-4</v>
      </c>
      <c r="Z43" s="1"/>
      <c r="AA43" s="1">
        <v>1.0613974637237794E-2</v>
      </c>
      <c r="AB43" s="1">
        <v>6.0591892438334018E-3</v>
      </c>
      <c r="AC43" s="1">
        <v>1.4623121976063157E-2</v>
      </c>
      <c r="AD43" s="1">
        <v>4.3102633419664638E-3</v>
      </c>
      <c r="AE43" s="1">
        <v>1.3162991963733774E-2</v>
      </c>
      <c r="AF43" s="1">
        <f t="shared" si="4"/>
        <v>9.7539082325669192E-3</v>
      </c>
      <c r="AG43" s="13">
        <f>AVERAGE(AF43:AF44)</f>
        <v>9.7539082325669192E-3</v>
      </c>
    </row>
    <row r="44" spans="1:33" x14ac:dyDescent="0.2">
      <c r="A44" s="6"/>
      <c r="B44" s="11">
        <f>C43</f>
        <v>2.2298551286667953E-3</v>
      </c>
      <c r="C44" s="11">
        <f t="shared" ref="C44:AE44" si="24">D43</f>
        <v>7.0349973352282821E-4</v>
      </c>
      <c r="D44" s="11">
        <f t="shared" si="24"/>
        <v>1.0121251231192474E-3</v>
      </c>
      <c r="E44" s="11">
        <f t="shared" si="24"/>
        <v>2.5786369843679669E-3</v>
      </c>
      <c r="F44" s="11">
        <f t="shared" si="24"/>
        <v>1.6616730378482627E-3</v>
      </c>
      <c r="G44" s="11">
        <f>J43</f>
        <v>1.6772500929992757E-3</v>
      </c>
      <c r="H44" s="1">
        <f t="shared" si="1"/>
        <v>1.6438400167540629E-3</v>
      </c>
      <c r="I44" s="13"/>
      <c r="J44" s="11">
        <f t="shared" si="24"/>
        <v>5.1063774984545637E-3</v>
      </c>
      <c r="K44" s="11">
        <f t="shared" si="24"/>
        <v>3.9728036261831752E-3</v>
      </c>
      <c r="L44" s="11">
        <f t="shared" si="24"/>
        <v>7.6476581141585558E-3</v>
      </c>
      <c r="M44" s="11">
        <f t="shared" si="24"/>
        <v>5.0783267343776899E-3</v>
      </c>
      <c r="N44" s="11">
        <f t="shared" si="24"/>
        <v>5.0947788493515139E-3</v>
      </c>
      <c r="O44" s="11">
        <f>R43</f>
        <v>2.450350519653604E-4</v>
      </c>
      <c r="P44" s="1">
        <f t="shared" si="2"/>
        <v>4.5241633124151436E-3</v>
      </c>
      <c r="Q44" s="13"/>
      <c r="R44" s="11">
        <f t="shared" si="24"/>
        <v>0</v>
      </c>
      <c r="S44" s="11">
        <f t="shared" si="24"/>
        <v>2.3697805583202996E-5</v>
      </c>
      <c r="T44" s="11">
        <f t="shared" si="24"/>
        <v>5.108573350060139E-4</v>
      </c>
      <c r="U44" s="11">
        <f t="shared" si="24"/>
        <v>1.5212575729269531E-3</v>
      </c>
      <c r="V44" s="11">
        <f t="shared" si="24"/>
        <v>1.5852839943443918E-3</v>
      </c>
      <c r="W44" s="11">
        <f>Z43</f>
        <v>0</v>
      </c>
      <c r="X44" s="13">
        <f t="shared" si="3"/>
        <v>6.0684945131009359E-4</v>
      </c>
      <c r="Y44" s="1"/>
      <c r="Z44" s="11">
        <f t="shared" si="24"/>
        <v>1.0613974637237794E-2</v>
      </c>
      <c r="AA44" s="11">
        <f t="shared" si="24"/>
        <v>6.0591892438334018E-3</v>
      </c>
      <c r="AB44" s="11">
        <f t="shared" si="24"/>
        <v>1.4623121976063157E-2</v>
      </c>
      <c r="AC44" s="11">
        <f t="shared" si="24"/>
        <v>4.3102633419664638E-3</v>
      </c>
      <c r="AD44" s="11">
        <f t="shared" si="24"/>
        <v>1.3162991963733774E-2</v>
      </c>
      <c r="AE44" s="11">
        <f t="shared" si="24"/>
        <v>9.7539082325669192E-3</v>
      </c>
      <c r="AF44" s="1">
        <f t="shared" si="4"/>
        <v>9.7539082325669175E-3</v>
      </c>
      <c r="AG44" s="13"/>
    </row>
    <row r="45" spans="1:33" x14ac:dyDescent="0.2">
      <c r="A45" s="6" t="s">
        <v>154</v>
      </c>
      <c r="B45" s="1">
        <v>1.6473636892485075E-2</v>
      </c>
      <c r="C45" s="1">
        <v>5.0206365474640595E-3</v>
      </c>
      <c r="D45" s="1">
        <v>4.0788772428495285E-3</v>
      </c>
      <c r="E45" s="1">
        <v>1.6438542268111262E-3</v>
      </c>
      <c r="F45" s="1">
        <v>8.353868336931726E-3</v>
      </c>
      <c r="G45" s="1">
        <v>1.2397974997417093E-3</v>
      </c>
      <c r="H45" s="1">
        <f t="shared" si="1"/>
        <v>6.135111791047203E-3</v>
      </c>
      <c r="I45" s="13">
        <f>AVERAGE(H45:H46)</f>
        <v>4.7807998007078105E-3</v>
      </c>
      <c r="J45" s="1">
        <v>2.2189300841235553E-4</v>
      </c>
      <c r="K45" s="1">
        <v>2.5692870389449822E-3</v>
      </c>
      <c r="L45" s="1">
        <v>2.5796560458605524E-3</v>
      </c>
      <c r="M45" s="1">
        <v>1.9035362878361351E-3</v>
      </c>
      <c r="N45" s="1">
        <v>7.0272729508398264E-3</v>
      </c>
      <c r="O45" s="1">
        <v>4.6558031260392418E-5</v>
      </c>
      <c r="P45" s="1">
        <f t="shared" si="2"/>
        <v>2.391367227192374E-3</v>
      </c>
      <c r="Q45" s="13">
        <f>AVERAGE(P45:P46)</f>
        <v>3.6757454438518782E-3</v>
      </c>
      <c r="R45" s="1">
        <v>1.5634431608326407E-2</v>
      </c>
      <c r="S45" s="1"/>
      <c r="T45" s="1">
        <v>1.3902712608812426E-3</v>
      </c>
      <c r="U45" s="1">
        <v>6.8998072968533778E-3</v>
      </c>
      <c r="V45" s="1">
        <v>5.0441698470735808E-3</v>
      </c>
      <c r="W45" s="1">
        <v>9.3260400748368267E-3</v>
      </c>
      <c r="X45" s="13">
        <f t="shared" si="3"/>
        <v>7.6589440175942863E-3</v>
      </c>
      <c r="Y45" s="1">
        <f>AVERAGE(X45:X46)</f>
        <v>5.717829382100895E-3</v>
      </c>
      <c r="Z45" s="1"/>
      <c r="AA45" s="1">
        <v>2.891792847160052E-3</v>
      </c>
      <c r="AB45" s="1">
        <v>6.9753336029114415E-3</v>
      </c>
      <c r="AC45" s="1">
        <v>1.9607843137254902E-3</v>
      </c>
      <c r="AD45" s="1">
        <v>1.0334549533369882E-3</v>
      </c>
      <c r="AE45" s="1">
        <v>3.0826293014630125E-3</v>
      </c>
      <c r="AF45" s="1">
        <f t="shared" si="4"/>
        <v>3.1887990037193976E-3</v>
      </c>
      <c r="AG45" s="13">
        <f>AVERAGE(AF45:AF46)</f>
        <v>3.1887990037193976E-3</v>
      </c>
    </row>
    <row r="46" spans="1:33" x14ac:dyDescent="0.2">
      <c r="A46" s="6"/>
      <c r="B46" s="11">
        <f>C45</f>
        <v>5.0206365474640595E-3</v>
      </c>
      <c r="C46" s="11">
        <f t="shared" ref="C46:AE46" si="25">D45</f>
        <v>4.0788772428495285E-3</v>
      </c>
      <c r="D46" s="11">
        <f t="shared" si="25"/>
        <v>1.6438542268111262E-3</v>
      </c>
      <c r="E46" s="11">
        <f t="shared" si="25"/>
        <v>8.353868336931726E-3</v>
      </c>
      <c r="F46" s="11">
        <f t="shared" si="25"/>
        <v>1.2397974997417093E-3</v>
      </c>
      <c r="G46" s="11">
        <f>J45</f>
        <v>2.2189300841235553E-4</v>
      </c>
      <c r="H46" s="1">
        <f t="shared" si="1"/>
        <v>3.4264878103684175E-3</v>
      </c>
      <c r="I46" s="13"/>
      <c r="J46" s="11">
        <f t="shared" si="25"/>
        <v>2.5692870389449822E-3</v>
      </c>
      <c r="K46" s="11">
        <f t="shared" si="25"/>
        <v>2.5796560458605524E-3</v>
      </c>
      <c r="L46" s="11">
        <f t="shared" si="25"/>
        <v>1.9035362878361351E-3</v>
      </c>
      <c r="M46" s="11">
        <f t="shared" si="25"/>
        <v>7.0272729508398264E-3</v>
      </c>
      <c r="N46" s="11">
        <f t="shared" si="25"/>
        <v>4.6558031260392418E-5</v>
      </c>
      <c r="O46" s="11">
        <f>R45</f>
        <v>1.5634431608326407E-2</v>
      </c>
      <c r="P46" s="1">
        <f t="shared" si="2"/>
        <v>4.9601236605113829E-3</v>
      </c>
      <c r="Q46" s="13"/>
      <c r="R46" s="11">
        <f t="shared" si="25"/>
        <v>0</v>
      </c>
      <c r="S46" s="11">
        <f t="shared" si="25"/>
        <v>1.3902712608812426E-3</v>
      </c>
      <c r="T46" s="11">
        <f t="shared" si="25"/>
        <v>6.8998072968533778E-3</v>
      </c>
      <c r="U46" s="11">
        <f t="shared" si="25"/>
        <v>5.0441698470735808E-3</v>
      </c>
      <c r="V46" s="11">
        <f t="shared" si="25"/>
        <v>9.3260400748368267E-3</v>
      </c>
      <c r="W46" s="11">
        <f>Z45</f>
        <v>0</v>
      </c>
      <c r="X46" s="13">
        <f t="shared" si="3"/>
        <v>3.7767147466075041E-3</v>
      </c>
      <c r="Y46" s="1"/>
      <c r="Z46" s="11">
        <f t="shared" si="25"/>
        <v>2.891792847160052E-3</v>
      </c>
      <c r="AA46" s="11">
        <f t="shared" si="25"/>
        <v>6.9753336029114415E-3</v>
      </c>
      <c r="AB46" s="11">
        <f t="shared" si="25"/>
        <v>1.9607843137254902E-3</v>
      </c>
      <c r="AC46" s="11">
        <f t="shared" si="25"/>
        <v>1.0334549533369882E-3</v>
      </c>
      <c r="AD46" s="11">
        <f t="shared" si="25"/>
        <v>3.0826293014630125E-3</v>
      </c>
      <c r="AE46" s="11">
        <f t="shared" si="25"/>
        <v>3.1887990037193976E-3</v>
      </c>
      <c r="AF46" s="1">
        <f t="shared" si="4"/>
        <v>3.1887990037193976E-3</v>
      </c>
      <c r="AG46" s="13"/>
    </row>
    <row r="47" spans="1:33" x14ac:dyDescent="0.2">
      <c r="A47" s="6" t="s">
        <v>164</v>
      </c>
      <c r="B47" s="1">
        <v>1.9765720027500131E-3</v>
      </c>
      <c r="C47" s="1">
        <v>1.1772527076812277E-4</v>
      </c>
      <c r="D47" s="1">
        <v>1.7623023627642571E-3</v>
      </c>
      <c r="E47" s="1">
        <v>4.9587338246781922E-4</v>
      </c>
      <c r="F47" s="1">
        <v>6.0651372857175563E-3</v>
      </c>
      <c r="G47" s="1">
        <v>1.7219409718634846E-4</v>
      </c>
      <c r="H47" s="1">
        <f t="shared" si="1"/>
        <v>1.764967400275686E-3</v>
      </c>
      <c r="I47" s="13">
        <f>AVERAGE(H47:H48)</f>
        <v>1.6584455958801509E-3</v>
      </c>
      <c r="J47" s="1">
        <v>6.9831035000358943E-4</v>
      </c>
      <c r="K47" s="1">
        <v>5.9241706161137445E-4</v>
      </c>
      <c r="L47" s="1">
        <v>6.932409012131715E-4</v>
      </c>
      <c r="M47" s="1">
        <v>2.8821148020054152E-4</v>
      </c>
      <c r="N47" s="1">
        <v>1.4140619236160636E-4</v>
      </c>
      <c r="O47" s="1">
        <v>2.3944130362487528E-4</v>
      </c>
      <c r="P47" s="1">
        <f t="shared" si="2"/>
        <v>4.4217121483585976E-4</v>
      </c>
      <c r="Q47" s="13">
        <f>AVERAGE(P47:P48)</f>
        <v>5.7024516826044847E-4</v>
      </c>
      <c r="R47" s="1">
        <v>2.2351977910986536E-3</v>
      </c>
      <c r="S47" s="1"/>
      <c r="T47" s="1">
        <v>7.5043051013476154E-4</v>
      </c>
      <c r="U47" s="1">
        <v>2.101628276923475E-3</v>
      </c>
      <c r="V47" s="1">
        <v>6.2718513971549812E-4</v>
      </c>
      <c r="W47" s="1">
        <v>5.2842799811479745E-4</v>
      </c>
      <c r="X47" s="13">
        <f t="shared" si="3"/>
        <v>1.2485739431974373E-3</v>
      </c>
      <c r="Y47" s="1">
        <f>AVERAGE(X47:X48)</f>
        <v>9.5825963200609626E-4</v>
      </c>
      <c r="Z47" s="1"/>
      <c r="AA47" s="1">
        <v>4.1863370838619927E-4</v>
      </c>
      <c r="AB47" s="1">
        <v>4.4227658714112412E-5</v>
      </c>
      <c r="AC47" s="1">
        <v>3.819709702062643E-5</v>
      </c>
      <c r="AD47" s="1">
        <v>1.8400539413073211E-3</v>
      </c>
      <c r="AE47" s="1">
        <v>7.4180919019163407E-5</v>
      </c>
      <c r="AF47" s="1">
        <f t="shared" si="4"/>
        <v>4.8305866488948453E-4</v>
      </c>
      <c r="AG47" s="13">
        <f>AVERAGE(AF47:AF48)</f>
        <v>4.8305866488948453E-4</v>
      </c>
    </row>
    <row r="48" spans="1:33" x14ac:dyDescent="0.2">
      <c r="A48" s="6"/>
      <c r="B48" s="11">
        <f>C47</f>
        <v>1.1772527076812277E-4</v>
      </c>
      <c r="C48" s="11">
        <f t="shared" ref="C48:AE48" si="26">D47</f>
        <v>1.7623023627642571E-3</v>
      </c>
      <c r="D48" s="11">
        <f t="shared" si="26"/>
        <v>4.9587338246781922E-4</v>
      </c>
      <c r="E48" s="11">
        <f t="shared" si="26"/>
        <v>6.0651372857175563E-3</v>
      </c>
      <c r="F48" s="11">
        <f t="shared" si="26"/>
        <v>1.7219409718634846E-4</v>
      </c>
      <c r="G48" s="11">
        <f>J47</f>
        <v>6.9831035000358943E-4</v>
      </c>
      <c r="H48" s="1">
        <f t="shared" si="1"/>
        <v>1.5519237914846157E-3</v>
      </c>
      <c r="I48" s="13"/>
      <c r="J48" s="11">
        <f t="shared" si="26"/>
        <v>5.9241706161137445E-4</v>
      </c>
      <c r="K48" s="11">
        <f t="shared" si="26"/>
        <v>6.932409012131715E-4</v>
      </c>
      <c r="L48" s="11">
        <f t="shared" si="26"/>
        <v>2.8821148020054152E-4</v>
      </c>
      <c r="M48" s="11">
        <f t="shared" si="26"/>
        <v>1.4140619236160636E-4</v>
      </c>
      <c r="N48" s="11">
        <f t="shared" si="26"/>
        <v>2.3944130362487528E-4</v>
      </c>
      <c r="O48" s="11">
        <f>R47</f>
        <v>2.2351977910986536E-3</v>
      </c>
      <c r="P48" s="1">
        <f t="shared" si="2"/>
        <v>6.9831912168503713E-4</v>
      </c>
      <c r="Q48" s="13"/>
      <c r="R48" s="11">
        <f t="shared" si="26"/>
        <v>0</v>
      </c>
      <c r="S48" s="11">
        <f t="shared" si="26"/>
        <v>7.5043051013476154E-4</v>
      </c>
      <c r="T48" s="11">
        <f t="shared" si="26"/>
        <v>2.101628276923475E-3</v>
      </c>
      <c r="U48" s="11">
        <f t="shared" si="26"/>
        <v>6.2718513971549812E-4</v>
      </c>
      <c r="V48" s="11">
        <f t="shared" si="26"/>
        <v>5.2842799811479745E-4</v>
      </c>
      <c r="W48" s="11">
        <f>Z47</f>
        <v>0</v>
      </c>
      <c r="X48" s="13">
        <f t="shared" si="3"/>
        <v>6.6794532081475538E-4</v>
      </c>
      <c r="Y48" s="1"/>
      <c r="Z48" s="11">
        <f t="shared" si="26"/>
        <v>4.1863370838619927E-4</v>
      </c>
      <c r="AA48" s="11">
        <f t="shared" si="26"/>
        <v>4.4227658714112412E-5</v>
      </c>
      <c r="AB48" s="11">
        <f t="shared" si="26"/>
        <v>3.819709702062643E-5</v>
      </c>
      <c r="AC48" s="11">
        <f t="shared" si="26"/>
        <v>1.8400539413073211E-3</v>
      </c>
      <c r="AD48" s="11">
        <f t="shared" si="26"/>
        <v>7.4180919019163407E-5</v>
      </c>
      <c r="AE48" s="11">
        <f t="shared" si="26"/>
        <v>4.8305866488948453E-4</v>
      </c>
      <c r="AF48" s="1">
        <f t="shared" si="4"/>
        <v>4.8305866488948453E-4</v>
      </c>
      <c r="AG48" s="13"/>
    </row>
    <row r="49" spans="1:33" x14ac:dyDescent="0.2">
      <c r="A49" s="6" t="s">
        <v>168</v>
      </c>
      <c r="B49" s="1">
        <v>2.9410598127875623E-2</v>
      </c>
      <c r="C49" s="1">
        <v>3.8565413700451495E-2</v>
      </c>
      <c r="D49" s="1">
        <v>4.5258482856635279E-2</v>
      </c>
      <c r="E49" s="1">
        <v>3.6606324083822972E-2</v>
      </c>
      <c r="F49" s="1">
        <v>3.405631804206688E-2</v>
      </c>
      <c r="G49" s="1">
        <v>2.3272032234735004E-2</v>
      </c>
      <c r="H49" s="1">
        <f t="shared" si="1"/>
        <v>3.4528194840931205E-2</v>
      </c>
      <c r="I49" s="13">
        <f>AVERAGE(H49:H50)</f>
        <v>3.4843360292983828E-2</v>
      </c>
      <c r="J49" s="1">
        <v>3.3192583552507059E-2</v>
      </c>
      <c r="K49" s="1">
        <v>3.2840511024108801E-2</v>
      </c>
      <c r="L49" s="1">
        <v>4.3054259432075706E-2</v>
      </c>
      <c r="M49" s="1">
        <v>4.5048124614600914E-2</v>
      </c>
      <c r="N49" s="1">
        <v>2.5908073678774308E-2</v>
      </c>
      <c r="O49" s="1">
        <v>2.5414033920851342E-2</v>
      </c>
      <c r="P49" s="1">
        <f t="shared" si="2"/>
        <v>3.4242931037153021E-2</v>
      </c>
      <c r="Q49" s="13">
        <f>AVERAGE(P49:P50)</f>
        <v>3.363936654524409E-2</v>
      </c>
      <c r="R49" s="1">
        <v>2.5949809649599864E-2</v>
      </c>
      <c r="S49" s="1"/>
      <c r="T49" s="1">
        <v>4.016778046352909E-2</v>
      </c>
      <c r="U49" s="1">
        <v>2.5782129046442753E-2</v>
      </c>
      <c r="V49" s="1">
        <v>3.8511836451466545E-2</v>
      </c>
      <c r="W49" s="1">
        <v>3.1241520158814023E-2</v>
      </c>
      <c r="X49" s="13">
        <f t="shared" si="3"/>
        <v>3.2330615153970454E-2</v>
      </c>
      <c r="Y49" s="1">
        <f>AVERAGE(X49:X50)</f>
        <v>2.7473913087006259E-2</v>
      </c>
      <c r="Z49" s="1"/>
      <c r="AA49" s="1">
        <v>2.6612222816181159E-2</v>
      </c>
      <c r="AB49" s="1">
        <v>3.7517691063485584E-2</v>
      </c>
      <c r="AC49" s="1">
        <v>4.4130379424497095E-2</v>
      </c>
      <c r="AD49" s="1">
        <v>4.0077887214775884E-2</v>
      </c>
      <c r="AE49" s="1">
        <v>4.5472903358747187E-2</v>
      </c>
      <c r="AF49" s="1">
        <f t="shared" si="4"/>
        <v>3.8762216775537379E-2</v>
      </c>
      <c r="AG49" s="13">
        <f>AVERAGE(AF49:AF50)</f>
        <v>3.8762216775537379E-2</v>
      </c>
    </row>
    <row r="50" spans="1:33" x14ac:dyDescent="0.2">
      <c r="A50" s="6"/>
      <c r="B50" s="11">
        <f>C49</f>
        <v>3.8565413700451495E-2</v>
      </c>
      <c r="C50" s="11">
        <f t="shared" ref="C50:AE50" si="27">D49</f>
        <v>4.5258482856635279E-2</v>
      </c>
      <c r="D50" s="11">
        <f t="shared" si="27"/>
        <v>3.6606324083822972E-2</v>
      </c>
      <c r="E50" s="11">
        <f t="shared" si="27"/>
        <v>3.405631804206688E-2</v>
      </c>
      <c r="F50" s="11">
        <f t="shared" si="27"/>
        <v>2.3272032234735004E-2</v>
      </c>
      <c r="G50" s="11">
        <f>J49</f>
        <v>3.3192583552507059E-2</v>
      </c>
      <c r="H50" s="1">
        <f t="shared" si="1"/>
        <v>3.5158525745036452E-2</v>
      </c>
      <c r="I50" s="13"/>
      <c r="J50" s="11">
        <f t="shared" si="27"/>
        <v>3.2840511024108801E-2</v>
      </c>
      <c r="K50" s="11">
        <f t="shared" si="27"/>
        <v>4.3054259432075706E-2</v>
      </c>
      <c r="L50" s="11">
        <f t="shared" si="27"/>
        <v>4.5048124614600914E-2</v>
      </c>
      <c r="M50" s="11">
        <f t="shared" si="27"/>
        <v>2.5908073678774308E-2</v>
      </c>
      <c r="N50" s="11">
        <f t="shared" si="27"/>
        <v>2.5414033920851342E-2</v>
      </c>
      <c r="O50" s="11">
        <f>R49</f>
        <v>2.5949809649599864E-2</v>
      </c>
      <c r="P50" s="1">
        <f t="shared" si="2"/>
        <v>3.3035802053335159E-2</v>
      </c>
      <c r="Q50" s="13"/>
      <c r="R50" s="11">
        <f t="shared" si="27"/>
        <v>0</v>
      </c>
      <c r="S50" s="11">
        <f t="shared" si="27"/>
        <v>4.016778046352909E-2</v>
      </c>
      <c r="T50" s="11">
        <f t="shared" si="27"/>
        <v>2.5782129046442753E-2</v>
      </c>
      <c r="U50" s="11">
        <f t="shared" si="27"/>
        <v>3.8511836451466545E-2</v>
      </c>
      <c r="V50" s="11">
        <f t="shared" si="27"/>
        <v>3.1241520158814023E-2</v>
      </c>
      <c r="W50" s="11">
        <f>Z49</f>
        <v>0</v>
      </c>
      <c r="X50" s="13">
        <f t="shared" si="3"/>
        <v>2.2617211020042067E-2</v>
      </c>
      <c r="Y50" s="1"/>
      <c r="Z50" s="11">
        <f t="shared" si="27"/>
        <v>2.6612222816181159E-2</v>
      </c>
      <c r="AA50" s="11">
        <f t="shared" si="27"/>
        <v>3.7517691063485584E-2</v>
      </c>
      <c r="AB50" s="11">
        <f t="shared" si="27"/>
        <v>4.4130379424497095E-2</v>
      </c>
      <c r="AC50" s="11">
        <f t="shared" si="27"/>
        <v>4.0077887214775884E-2</v>
      </c>
      <c r="AD50" s="11">
        <f t="shared" si="27"/>
        <v>4.5472903358747187E-2</v>
      </c>
      <c r="AE50" s="11">
        <f t="shared" si="27"/>
        <v>3.8762216775537379E-2</v>
      </c>
      <c r="AF50" s="1">
        <f t="shared" si="4"/>
        <v>3.8762216775537379E-2</v>
      </c>
      <c r="AG50" s="13"/>
    </row>
    <row r="51" spans="1:33" x14ac:dyDescent="0.2">
      <c r="A51" s="6" t="s">
        <v>173</v>
      </c>
      <c r="B51" s="1">
        <v>7.7211909672642645E-2</v>
      </c>
      <c r="C51" s="1">
        <v>4.6085980997756272E-2</v>
      </c>
      <c r="D51" s="1">
        <v>4.986320838514835E-2</v>
      </c>
      <c r="E51" s="1">
        <v>6.1053561118092591E-2</v>
      </c>
      <c r="F51" s="1">
        <v>6.6266393036154336E-2</v>
      </c>
      <c r="G51" s="1">
        <v>3.311292488893481E-2</v>
      </c>
      <c r="H51" s="1">
        <f t="shared" si="1"/>
        <v>5.5598996349788175E-2</v>
      </c>
      <c r="I51" s="13">
        <f>AVERAGE(H51:H52)</f>
        <v>5.4970327075111805E-2</v>
      </c>
      <c r="J51" s="1">
        <v>6.9667878376526271E-2</v>
      </c>
      <c r="K51" s="1">
        <v>5.8900422419122161E-2</v>
      </c>
      <c r="L51" s="1">
        <v>5.3492867617650978E-2</v>
      </c>
      <c r="M51" s="1">
        <v>3.7132362797930231E-2</v>
      </c>
      <c r="N51" s="1">
        <v>0.1091594324078399</v>
      </c>
      <c r="O51" s="1">
        <v>8.2028599933488558E-2</v>
      </c>
      <c r="P51" s="1">
        <f t="shared" si="2"/>
        <v>6.8396927258759677E-2</v>
      </c>
      <c r="Q51" s="13">
        <f>AVERAGE(P51:P52)</f>
        <v>6.6678674531203047E-2</v>
      </c>
      <c r="R51" s="1">
        <v>4.9048845645846662E-2</v>
      </c>
      <c r="S51" s="1"/>
      <c r="T51" s="1">
        <v>5.059481492013837E-2</v>
      </c>
      <c r="U51" s="1">
        <v>4.176097049960556E-2</v>
      </c>
      <c r="V51" s="1">
        <v>4.4596866743174347E-2</v>
      </c>
      <c r="W51" s="1">
        <v>3.4119310472871638E-2</v>
      </c>
      <c r="X51" s="13">
        <f t="shared" si="3"/>
        <v>4.4024161656327318E-2</v>
      </c>
      <c r="Y51" s="1">
        <f>AVERAGE(X51:X52)</f>
        <v>3.6268077714479485E-2</v>
      </c>
      <c r="Z51" s="1"/>
      <c r="AA51" s="1">
        <v>4.6880534820663754E-2</v>
      </c>
      <c r="AB51" s="1">
        <v>6.0111706429437785E-2</v>
      </c>
      <c r="AC51" s="1">
        <v>7.9023427552839295E-2</v>
      </c>
      <c r="AD51" s="1">
        <v>3.4009490141217839E-2</v>
      </c>
      <c r="AE51" s="1">
        <v>2.7916752524211819E-2</v>
      </c>
      <c r="AF51" s="1">
        <f t="shared" si="4"/>
        <v>4.9588382293674106E-2</v>
      </c>
      <c r="AG51" s="13">
        <f>AVERAGE(AF51:AF52)</f>
        <v>4.9588382293674106E-2</v>
      </c>
    </row>
    <row r="52" spans="1:33" x14ac:dyDescent="0.2">
      <c r="A52" s="6"/>
      <c r="B52" s="11">
        <f>C51</f>
        <v>4.6085980997756272E-2</v>
      </c>
      <c r="C52" s="11">
        <f t="shared" ref="C52:AE52" si="28">D51</f>
        <v>4.986320838514835E-2</v>
      </c>
      <c r="D52" s="11">
        <f t="shared" si="28"/>
        <v>6.1053561118092591E-2</v>
      </c>
      <c r="E52" s="11">
        <f t="shared" si="28"/>
        <v>6.6266393036154336E-2</v>
      </c>
      <c r="F52" s="11">
        <f t="shared" si="28"/>
        <v>3.311292488893481E-2</v>
      </c>
      <c r="G52" s="11">
        <f>J51</f>
        <v>6.9667878376526271E-2</v>
      </c>
      <c r="H52" s="1">
        <f t="shared" si="1"/>
        <v>5.4341657800435435E-2</v>
      </c>
      <c r="I52" s="13"/>
      <c r="J52" s="11">
        <f t="shared" si="28"/>
        <v>5.8900422419122161E-2</v>
      </c>
      <c r="K52" s="11">
        <f t="shared" si="28"/>
        <v>5.3492867617650978E-2</v>
      </c>
      <c r="L52" s="11">
        <f t="shared" si="28"/>
        <v>3.7132362797930231E-2</v>
      </c>
      <c r="M52" s="11">
        <f t="shared" si="28"/>
        <v>0.1091594324078399</v>
      </c>
      <c r="N52" s="11">
        <f t="shared" si="28"/>
        <v>8.2028599933488558E-2</v>
      </c>
      <c r="O52" s="11">
        <f>R51</f>
        <v>4.9048845645846662E-2</v>
      </c>
      <c r="P52" s="1">
        <f t="shared" si="2"/>
        <v>6.4960421803646418E-2</v>
      </c>
      <c r="Q52" s="13"/>
      <c r="R52" s="11">
        <f t="shared" si="28"/>
        <v>0</v>
      </c>
      <c r="S52" s="11">
        <f t="shared" si="28"/>
        <v>5.059481492013837E-2</v>
      </c>
      <c r="T52" s="11">
        <f t="shared" si="28"/>
        <v>4.176097049960556E-2</v>
      </c>
      <c r="U52" s="11">
        <f t="shared" si="28"/>
        <v>4.4596866743174347E-2</v>
      </c>
      <c r="V52" s="11">
        <f t="shared" si="28"/>
        <v>3.4119310472871638E-2</v>
      </c>
      <c r="W52" s="11">
        <f>Z51</f>
        <v>0</v>
      </c>
      <c r="X52" s="13">
        <f t="shared" si="3"/>
        <v>2.8511993772631652E-2</v>
      </c>
      <c r="Y52" s="1"/>
      <c r="Z52" s="11">
        <f t="shared" si="28"/>
        <v>4.6880534820663754E-2</v>
      </c>
      <c r="AA52" s="11">
        <f t="shared" si="28"/>
        <v>6.0111706429437785E-2</v>
      </c>
      <c r="AB52" s="11">
        <f t="shared" si="28"/>
        <v>7.9023427552839295E-2</v>
      </c>
      <c r="AC52" s="11">
        <f t="shared" si="28"/>
        <v>3.4009490141217839E-2</v>
      </c>
      <c r="AD52" s="11">
        <f t="shared" si="28"/>
        <v>2.7916752524211819E-2</v>
      </c>
      <c r="AE52" s="11">
        <f t="shared" si="28"/>
        <v>4.9588382293674106E-2</v>
      </c>
      <c r="AF52" s="1">
        <f t="shared" si="4"/>
        <v>4.9588382293674106E-2</v>
      </c>
      <c r="AG52" s="13"/>
    </row>
    <row r="53" spans="1:33" x14ac:dyDescent="0.2">
      <c r="A53" s="6" t="s">
        <v>175</v>
      </c>
      <c r="B53" s="1">
        <v>7.7145803585594169E-3</v>
      </c>
      <c r="C53" s="1">
        <v>1.1149275643333977E-2</v>
      </c>
      <c r="D53" s="1">
        <v>9.5718600106590827E-3</v>
      </c>
      <c r="E53" s="1">
        <v>7.9203885473627025E-3</v>
      </c>
      <c r="F53" s="1">
        <v>8.9718257207595537E-3</v>
      </c>
      <c r="G53" s="1">
        <v>1.1037641629644939E-2</v>
      </c>
      <c r="H53" s="1">
        <f t="shared" si="1"/>
        <v>9.3942619850532778E-3</v>
      </c>
      <c r="I53" s="13">
        <f>AVERAGE(H53:H54)</f>
        <v>1.0754943629171166E-2</v>
      </c>
      <c r="J53" s="1">
        <v>2.4042760087974062E-2</v>
      </c>
      <c r="K53" s="1">
        <v>2.0464145889140736E-2</v>
      </c>
      <c r="L53" s="1">
        <v>2.4130115984535395E-2</v>
      </c>
      <c r="M53" s="1">
        <v>1.2667899943698227E-2</v>
      </c>
      <c r="N53" s="1">
        <v>1.6218675454344238E-2</v>
      </c>
      <c r="O53" s="1">
        <v>9.6907216494845315E-3</v>
      </c>
      <c r="P53" s="1">
        <f t="shared" si="2"/>
        <v>1.7869053168196199E-2</v>
      </c>
      <c r="Q53" s="13">
        <f>AVERAGE(P53:P54)</f>
        <v>1.6415324578283236E-2</v>
      </c>
      <c r="R53" s="1">
        <v>6.598017009018485E-3</v>
      </c>
      <c r="S53" s="1"/>
      <c r="T53" s="1">
        <v>8.9972668530894032E-3</v>
      </c>
      <c r="U53" s="1">
        <v>7.410664631859392E-3</v>
      </c>
      <c r="V53" s="1">
        <v>8.9140356027649498E-3</v>
      </c>
      <c r="W53" s="1">
        <v>1.055427812450906E-2</v>
      </c>
      <c r="X53" s="13">
        <f t="shared" si="3"/>
        <v>8.4948524442482569E-3</v>
      </c>
      <c r="Y53" s="1">
        <f>AVERAGE(X53:X54)</f>
        <v>7.2371133231426965E-3</v>
      </c>
      <c r="Z53" s="1"/>
      <c r="AA53" s="1">
        <v>1.7176863081015292E-2</v>
      </c>
      <c r="AB53" s="1">
        <v>1.0703093408815203E-2</v>
      </c>
      <c r="AC53" s="1">
        <v>1.480774127832951E-2</v>
      </c>
      <c r="AD53" s="1">
        <v>1.9396185038849083E-2</v>
      </c>
      <c r="AE53" s="1">
        <v>1.7020399752730269E-2</v>
      </c>
      <c r="AF53" s="1">
        <f t="shared" si="4"/>
        <v>1.5820856511947874E-2</v>
      </c>
      <c r="AG53" s="13">
        <f>AVERAGE(AF53:AF54)</f>
        <v>1.5820856511947874E-2</v>
      </c>
    </row>
    <row r="54" spans="1:33" x14ac:dyDescent="0.2">
      <c r="A54" s="6"/>
      <c r="B54" s="11">
        <f>C53</f>
        <v>1.1149275643333977E-2</v>
      </c>
      <c r="C54" s="11">
        <f t="shared" ref="C54:AE54" si="29">D53</f>
        <v>9.5718600106590827E-3</v>
      </c>
      <c r="D54" s="11">
        <f t="shared" si="29"/>
        <v>7.9203885473627025E-3</v>
      </c>
      <c r="E54" s="11">
        <f t="shared" si="29"/>
        <v>8.9718257207595537E-3</v>
      </c>
      <c r="F54" s="11">
        <f t="shared" si="29"/>
        <v>1.1037641629644939E-2</v>
      </c>
      <c r="G54" s="11">
        <f>J53</f>
        <v>2.4042760087974062E-2</v>
      </c>
      <c r="H54" s="1">
        <f t="shared" si="1"/>
        <v>1.2115625273289054E-2</v>
      </c>
      <c r="I54" s="13"/>
      <c r="J54" s="11">
        <f t="shared" si="29"/>
        <v>2.0464145889140736E-2</v>
      </c>
      <c r="K54" s="11">
        <f t="shared" si="29"/>
        <v>2.4130115984535395E-2</v>
      </c>
      <c r="L54" s="11">
        <f t="shared" si="29"/>
        <v>1.2667899943698227E-2</v>
      </c>
      <c r="M54" s="11">
        <f t="shared" si="29"/>
        <v>1.6218675454344238E-2</v>
      </c>
      <c r="N54" s="11">
        <f t="shared" si="29"/>
        <v>9.6907216494845315E-3</v>
      </c>
      <c r="O54" s="11">
        <f>R53</f>
        <v>6.598017009018485E-3</v>
      </c>
      <c r="P54" s="1">
        <f t="shared" si="2"/>
        <v>1.4961595988370269E-2</v>
      </c>
      <c r="Q54" s="13"/>
      <c r="R54" s="11">
        <f t="shared" si="29"/>
        <v>0</v>
      </c>
      <c r="S54" s="11">
        <f t="shared" si="29"/>
        <v>8.9972668530894032E-3</v>
      </c>
      <c r="T54" s="11">
        <f t="shared" si="29"/>
        <v>7.410664631859392E-3</v>
      </c>
      <c r="U54" s="11">
        <f t="shared" si="29"/>
        <v>8.9140356027649498E-3</v>
      </c>
      <c r="V54" s="11">
        <f t="shared" si="29"/>
        <v>1.055427812450906E-2</v>
      </c>
      <c r="W54" s="11">
        <f>Z53</f>
        <v>0</v>
      </c>
      <c r="X54" s="13">
        <f t="shared" si="3"/>
        <v>5.9793742020371353E-3</v>
      </c>
      <c r="Y54" s="1"/>
      <c r="Z54" s="11">
        <f t="shared" si="29"/>
        <v>1.7176863081015292E-2</v>
      </c>
      <c r="AA54" s="11">
        <f t="shared" si="29"/>
        <v>1.0703093408815203E-2</v>
      </c>
      <c r="AB54" s="11">
        <f t="shared" si="29"/>
        <v>1.480774127832951E-2</v>
      </c>
      <c r="AC54" s="11">
        <f t="shared" si="29"/>
        <v>1.9396185038849083E-2</v>
      </c>
      <c r="AD54" s="11">
        <f t="shared" si="29"/>
        <v>1.7020399752730269E-2</v>
      </c>
      <c r="AE54" s="11">
        <f t="shared" si="29"/>
        <v>1.5820856511947874E-2</v>
      </c>
      <c r="AF54" s="1">
        <f t="shared" si="4"/>
        <v>1.5820856511947871E-2</v>
      </c>
      <c r="AG54" s="13"/>
    </row>
    <row r="55" spans="1:33" x14ac:dyDescent="0.2">
      <c r="A55" s="6" t="s">
        <v>176</v>
      </c>
      <c r="B55" s="1">
        <v>2.3004918292876407E-3</v>
      </c>
      <c r="C55" s="1">
        <v>1.6481537907537187E-3</v>
      </c>
      <c r="D55" s="1">
        <v>4.9102860188310529E-3</v>
      </c>
      <c r="E55" s="1">
        <v>4.2251129300682685E-3</v>
      </c>
      <c r="F55" s="1">
        <v>6.7746439115939491E-3</v>
      </c>
      <c r="G55" s="1">
        <v>3.4955401728828735E-3</v>
      </c>
      <c r="H55" s="1">
        <f t="shared" si="1"/>
        <v>3.8923714422362502E-3</v>
      </c>
      <c r="I55" s="13">
        <f>AVERAGE(H55:H56)</f>
        <v>3.8094348723506895E-3</v>
      </c>
      <c r="J55" s="1">
        <v>1.3052529906609146E-3</v>
      </c>
      <c r="K55" s="1">
        <v>4.3143416443437049E-4</v>
      </c>
      <c r="L55" s="1">
        <v>1.7464338088254898E-3</v>
      </c>
      <c r="M55" s="1">
        <v>6.9036703396873906E-4</v>
      </c>
      <c r="N55" s="1">
        <v>3.2277500430366677E-3</v>
      </c>
      <c r="O55" s="1">
        <v>2.5407382773528432E-3</v>
      </c>
      <c r="P55" s="1">
        <f t="shared" si="2"/>
        <v>1.656996053046504E-3</v>
      </c>
      <c r="Q55" s="13">
        <f>AVERAGE(P55:P56)</f>
        <v>1.7738365122400219E-3</v>
      </c>
      <c r="R55" s="1">
        <v>2.7073385009831288E-3</v>
      </c>
      <c r="S55" s="1"/>
      <c r="T55" s="1">
        <v>1.9195222522394426E-3</v>
      </c>
      <c r="U55" s="1">
        <v>3.0004785245922837E-3</v>
      </c>
      <c r="V55" s="1">
        <v>5.5779444340654941E-3</v>
      </c>
      <c r="W55" s="1">
        <v>4.1631557148773899E-3</v>
      </c>
      <c r="X55" s="13">
        <f t="shared" si="3"/>
        <v>3.4736878853515478E-3</v>
      </c>
      <c r="Y55" s="1">
        <f>AVERAGE(X55:X56)</f>
        <v>2.9586023531569918E-3</v>
      </c>
      <c r="Z55" s="1"/>
      <c r="AA55" s="1">
        <v>1.3911520155602932E-3</v>
      </c>
      <c r="AB55" s="1">
        <v>2.8811160533764655E-3</v>
      </c>
      <c r="AC55" s="1">
        <v>2.8711484593837533E-3</v>
      </c>
      <c r="AD55" s="1">
        <v>3.4658550264350216E-3</v>
      </c>
      <c r="AE55" s="1">
        <v>1.9699155161755615E-3</v>
      </c>
      <c r="AF55" s="1">
        <f t="shared" si="4"/>
        <v>2.5158374141862191E-3</v>
      </c>
      <c r="AG55" s="13">
        <f>AVERAGE(AF55:AF56)</f>
        <v>2.5158374141862191E-3</v>
      </c>
    </row>
    <row r="56" spans="1:33" x14ac:dyDescent="0.2">
      <c r="A56" s="6"/>
      <c r="B56" s="11">
        <f>C55</f>
        <v>1.6481537907537187E-3</v>
      </c>
      <c r="C56" s="11">
        <f t="shared" ref="C56:AE56" si="30">D55</f>
        <v>4.9102860188310529E-3</v>
      </c>
      <c r="D56" s="11">
        <f t="shared" si="30"/>
        <v>4.2251129300682685E-3</v>
      </c>
      <c r="E56" s="11">
        <f t="shared" si="30"/>
        <v>6.7746439115939491E-3</v>
      </c>
      <c r="F56" s="11">
        <f t="shared" si="30"/>
        <v>3.4955401728828735E-3</v>
      </c>
      <c r="G56" s="11">
        <f>J55</f>
        <v>1.3052529906609146E-3</v>
      </c>
      <c r="H56" s="1">
        <f t="shared" si="1"/>
        <v>3.7264983024651293E-3</v>
      </c>
      <c r="I56" s="13"/>
      <c r="J56" s="11">
        <f t="shared" si="30"/>
        <v>4.3143416443437049E-4</v>
      </c>
      <c r="K56" s="11">
        <f t="shared" si="30"/>
        <v>1.7464338088254898E-3</v>
      </c>
      <c r="L56" s="11">
        <f t="shared" si="30"/>
        <v>6.9036703396873906E-4</v>
      </c>
      <c r="M56" s="11">
        <f t="shared" si="30"/>
        <v>3.2277500430366677E-3</v>
      </c>
      <c r="N56" s="11">
        <f t="shared" si="30"/>
        <v>2.5407382773528432E-3</v>
      </c>
      <c r="O56" s="11">
        <f>R55</f>
        <v>2.7073385009831288E-3</v>
      </c>
      <c r="P56" s="1">
        <f t="shared" si="2"/>
        <v>1.8906769714335397E-3</v>
      </c>
      <c r="Q56" s="13"/>
      <c r="R56" s="11">
        <f t="shared" si="30"/>
        <v>0</v>
      </c>
      <c r="S56" s="11">
        <f t="shared" si="30"/>
        <v>1.9195222522394426E-3</v>
      </c>
      <c r="T56" s="11">
        <f t="shared" si="30"/>
        <v>3.0004785245922837E-3</v>
      </c>
      <c r="U56" s="11">
        <f t="shared" si="30"/>
        <v>5.5779444340654941E-3</v>
      </c>
      <c r="V56" s="11">
        <f t="shared" si="30"/>
        <v>4.1631557148773899E-3</v>
      </c>
      <c r="W56" s="11">
        <f>Z55</f>
        <v>0</v>
      </c>
      <c r="X56" s="13">
        <f t="shared" si="3"/>
        <v>2.4435168209624354E-3</v>
      </c>
      <c r="Y56" s="1"/>
      <c r="Z56" s="11">
        <f t="shared" si="30"/>
        <v>1.3911520155602932E-3</v>
      </c>
      <c r="AA56" s="11">
        <f t="shared" si="30"/>
        <v>2.8811160533764655E-3</v>
      </c>
      <c r="AB56" s="11">
        <f t="shared" si="30"/>
        <v>2.8711484593837533E-3</v>
      </c>
      <c r="AC56" s="11">
        <f t="shared" si="30"/>
        <v>3.4658550264350216E-3</v>
      </c>
      <c r="AD56" s="11">
        <f t="shared" si="30"/>
        <v>1.9699155161755615E-3</v>
      </c>
      <c r="AE56" s="11">
        <f t="shared" si="30"/>
        <v>2.5158374141862191E-3</v>
      </c>
      <c r="AF56" s="1">
        <f t="shared" si="4"/>
        <v>2.5158374141862187E-3</v>
      </c>
      <c r="AG56" s="13"/>
    </row>
    <row r="57" spans="1:33" x14ac:dyDescent="0.2">
      <c r="A57" s="6" t="s">
        <v>185</v>
      </c>
      <c r="B57" s="1">
        <v>1.1674334972764292E-2</v>
      </c>
      <c r="C57" s="1">
        <v>5.6715880446525022E-3</v>
      </c>
      <c r="D57" s="1">
        <v>2.4373778646295968E-3</v>
      </c>
      <c r="E57" s="1">
        <v>2.1804843256461636E-3</v>
      </c>
      <c r="F57" s="1">
        <v>1.5944826323458731E-3</v>
      </c>
      <c r="G57" s="1">
        <v>8.6958019079105971E-4</v>
      </c>
      <c r="H57" s="1">
        <f t="shared" si="1"/>
        <v>4.0713080051382475E-3</v>
      </c>
      <c r="I57" s="13">
        <f>AVERAGE(H57:H58)</f>
        <v>3.73312602411676E-3</v>
      </c>
      <c r="J57" s="1">
        <v>7.6161512005064385E-3</v>
      </c>
      <c r="K57" s="1">
        <v>1.853235112301669E-2</v>
      </c>
      <c r="L57" s="1">
        <v>4.8993467537661647E-3</v>
      </c>
      <c r="M57" s="1">
        <v>7.59403737365613E-3</v>
      </c>
      <c r="N57" s="1">
        <v>1.0316503947077196E-2</v>
      </c>
      <c r="O57" s="1">
        <v>1.3714665779847023E-2</v>
      </c>
      <c r="P57" s="1">
        <f t="shared" si="2"/>
        <v>1.0445509362978273E-2</v>
      </c>
      <c r="Q57" s="13">
        <f>AVERAGE(P57:P58)</f>
        <v>1.0295919812965057E-2</v>
      </c>
      <c r="R57" s="1">
        <v>5.8210766003478302E-3</v>
      </c>
      <c r="S57" s="1"/>
      <c r="T57" s="1">
        <v>2.7252476420683448E-3</v>
      </c>
      <c r="U57" s="1">
        <v>5.108573350060139E-4</v>
      </c>
      <c r="V57" s="1">
        <v>1.2944033734553898E-3</v>
      </c>
      <c r="W57" s="1">
        <v>1.1282651851640269E-3</v>
      </c>
      <c r="X57" s="13">
        <f t="shared" si="3"/>
        <v>2.2959700272083211E-3</v>
      </c>
      <c r="Y57" s="1">
        <f>AVERAGE(X57:X58)</f>
        <v>1.6195494749119753E-3</v>
      </c>
      <c r="Z57" s="1"/>
      <c r="AA57" s="1">
        <v>9.4804433652997747E-3</v>
      </c>
      <c r="AB57" s="1">
        <v>1.52711787302871E-2</v>
      </c>
      <c r="AC57" s="1">
        <v>1.8964858670741019E-2</v>
      </c>
      <c r="AD57" s="1">
        <v>6.1944281654284115E-3</v>
      </c>
      <c r="AE57" s="1">
        <v>2.9589944364310735E-3</v>
      </c>
      <c r="AF57" s="1">
        <f t="shared" si="4"/>
        <v>1.0573980673637474E-2</v>
      </c>
      <c r="AG57" s="13">
        <f>AVERAGE(AF57:AF58)</f>
        <v>1.0573980673637474E-2</v>
      </c>
    </row>
    <row r="58" spans="1:33" x14ac:dyDescent="0.2">
      <c r="A58" s="6"/>
      <c r="B58" s="11">
        <f>C57</f>
        <v>5.6715880446525022E-3</v>
      </c>
      <c r="C58" s="11">
        <f t="shared" ref="C58:AE58" si="31">D57</f>
        <v>2.4373778646295968E-3</v>
      </c>
      <c r="D58" s="11">
        <f t="shared" si="31"/>
        <v>2.1804843256461636E-3</v>
      </c>
      <c r="E58" s="11">
        <f t="shared" si="31"/>
        <v>1.5944826323458731E-3</v>
      </c>
      <c r="F58" s="11">
        <f t="shared" si="31"/>
        <v>8.6958019079105971E-4</v>
      </c>
      <c r="G58" s="11">
        <f>J57</f>
        <v>7.6161512005064385E-3</v>
      </c>
      <c r="H58" s="1">
        <f t="shared" si="1"/>
        <v>3.3949440430952726E-3</v>
      </c>
      <c r="I58" s="13"/>
      <c r="J58" s="11">
        <f t="shared" si="31"/>
        <v>1.853235112301669E-2</v>
      </c>
      <c r="K58" s="11">
        <f t="shared" si="31"/>
        <v>4.8993467537661647E-3</v>
      </c>
      <c r="L58" s="11">
        <f t="shared" si="31"/>
        <v>7.59403737365613E-3</v>
      </c>
      <c r="M58" s="11">
        <f t="shared" si="31"/>
        <v>1.0316503947077196E-2</v>
      </c>
      <c r="N58" s="11">
        <f>O57</f>
        <v>1.3714665779847023E-2</v>
      </c>
      <c r="O58" s="11">
        <f>R57</f>
        <v>5.8210766003478302E-3</v>
      </c>
      <c r="P58" s="1">
        <f>AVERAGE(J58:O58)</f>
        <v>1.0146330262951839E-2</v>
      </c>
      <c r="Q58" s="13"/>
      <c r="R58" s="11">
        <f t="shared" si="31"/>
        <v>0</v>
      </c>
      <c r="S58" s="11">
        <f t="shared" si="31"/>
        <v>2.7252476420683448E-3</v>
      </c>
      <c r="T58" s="11">
        <f>U57</f>
        <v>5.108573350060139E-4</v>
      </c>
      <c r="U58" s="11">
        <f t="shared" si="31"/>
        <v>1.2944033734553898E-3</v>
      </c>
      <c r="V58" s="11">
        <f t="shared" si="31"/>
        <v>1.1282651851640269E-3</v>
      </c>
      <c r="W58" s="11">
        <f>Z57</f>
        <v>0</v>
      </c>
      <c r="X58" s="13">
        <f t="shared" si="3"/>
        <v>9.4312892261562929E-4</v>
      </c>
      <c r="Y58" s="1"/>
      <c r="Z58" s="11">
        <f t="shared" si="31"/>
        <v>9.4804433652997747E-3</v>
      </c>
      <c r="AA58" s="11">
        <f t="shared" si="31"/>
        <v>1.52711787302871E-2</v>
      </c>
      <c r="AB58" s="11">
        <f t="shared" si="31"/>
        <v>1.8964858670741019E-2</v>
      </c>
      <c r="AC58" s="11">
        <f t="shared" si="31"/>
        <v>6.1944281654284115E-3</v>
      </c>
      <c r="AD58" s="11">
        <f t="shared" si="31"/>
        <v>2.9589944364310735E-3</v>
      </c>
      <c r="AE58" s="11">
        <f t="shared" si="31"/>
        <v>1.0573980673637474E-2</v>
      </c>
      <c r="AF58" s="1">
        <f t="shared" si="4"/>
        <v>1.0573980673637474E-2</v>
      </c>
      <c r="AG58" s="13"/>
    </row>
  </sheetData>
  <conditionalFormatting sqref="I3:I58 Q3:Q58 X3:X58 AG3:AG58">
    <cfRule type="cellIs" dxfId="4" priority="1" operator="greaterThan">
      <formula>$F$14</formula>
    </cfRule>
    <cfRule type="cellIs" dxfId="3" priority="2" operator="greaterThan">
      <formula>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69C-0C82-4827-A743-3A020C1232A9}">
  <dimension ref="A1:W369"/>
  <sheetViews>
    <sheetView topLeftCell="G1" workbookViewId="0">
      <selection activeCell="A23" sqref="A23"/>
    </sheetView>
  </sheetViews>
  <sheetFormatPr baseColWidth="10" defaultRowHeight="15" x14ac:dyDescent="0.2"/>
  <cols>
    <col min="1" max="1" width="23.5" style="2" customWidth="1"/>
  </cols>
  <sheetData>
    <row r="1" spans="1:23" s="7" customFormat="1" x14ac:dyDescent="0.2">
      <c r="A1" s="5" t="s">
        <v>358</v>
      </c>
      <c r="B1" s="18" t="s">
        <v>22</v>
      </c>
      <c r="C1" s="15" t="s">
        <v>13</v>
      </c>
      <c r="D1" s="18" t="s">
        <v>7</v>
      </c>
      <c r="E1" s="15" t="s">
        <v>6</v>
      </c>
      <c r="F1" s="18" t="s">
        <v>5</v>
      </c>
      <c r="G1" s="15" t="s">
        <v>4</v>
      </c>
      <c r="H1" s="21" t="s">
        <v>3</v>
      </c>
      <c r="I1" s="24" t="s">
        <v>2</v>
      </c>
      <c r="J1" s="21" t="s">
        <v>1</v>
      </c>
      <c r="K1" s="24" t="s">
        <v>21</v>
      </c>
      <c r="L1" s="21" t="s">
        <v>20</v>
      </c>
      <c r="M1" s="24" t="s">
        <v>19</v>
      </c>
      <c r="N1" s="18" t="s">
        <v>18</v>
      </c>
      <c r="O1" s="18" t="s">
        <v>17</v>
      </c>
      <c r="P1" s="15" t="s">
        <v>16</v>
      </c>
      <c r="Q1" s="18" t="s">
        <v>15</v>
      </c>
      <c r="R1" s="15" t="s">
        <v>14</v>
      </c>
      <c r="S1" s="24" t="s">
        <v>12</v>
      </c>
      <c r="T1" s="21" t="s">
        <v>11</v>
      </c>
      <c r="U1" s="24" t="s">
        <v>10</v>
      </c>
      <c r="V1" s="21" t="s">
        <v>9</v>
      </c>
      <c r="W1" s="24" t="s">
        <v>8</v>
      </c>
    </row>
    <row r="2" spans="1:23" x14ac:dyDescent="0.2">
      <c r="A2" s="6" t="s">
        <v>357</v>
      </c>
      <c r="B2" s="19">
        <v>0</v>
      </c>
      <c r="C2" s="16">
        <v>0</v>
      </c>
      <c r="D2" s="19">
        <v>0</v>
      </c>
      <c r="E2" s="16">
        <v>0</v>
      </c>
      <c r="F2" s="19">
        <v>0</v>
      </c>
      <c r="G2" s="16">
        <v>0</v>
      </c>
      <c r="H2" s="22">
        <v>0</v>
      </c>
      <c r="I2" s="25">
        <v>0</v>
      </c>
      <c r="J2" s="22">
        <v>0</v>
      </c>
      <c r="K2" s="25">
        <v>0</v>
      </c>
      <c r="L2" s="22">
        <v>1.2296190640139685E-5</v>
      </c>
      <c r="M2" s="25">
        <v>0</v>
      </c>
      <c r="N2" s="19">
        <v>0</v>
      </c>
      <c r="O2" s="19">
        <v>0</v>
      </c>
      <c r="P2" s="16">
        <v>0</v>
      </c>
      <c r="Q2" s="19">
        <v>0</v>
      </c>
      <c r="R2" s="16">
        <v>0</v>
      </c>
      <c r="S2" s="25">
        <v>0</v>
      </c>
      <c r="T2" s="22">
        <v>0</v>
      </c>
      <c r="U2" s="25">
        <v>0</v>
      </c>
      <c r="V2" s="22">
        <v>0</v>
      </c>
      <c r="W2" s="25">
        <v>0</v>
      </c>
    </row>
    <row r="3" spans="1:23" x14ac:dyDescent="0.2">
      <c r="A3" s="6" t="s">
        <v>356</v>
      </c>
      <c r="B3" s="19">
        <v>0</v>
      </c>
      <c r="C3" s="16">
        <v>2.07750477826099E-5</v>
      </c>
      <c r="D3" s="19">
        <v>2.842423165748801E-5</v>
      </c>
      <c r="E3" s="16">
        <v>4.0756716367218015E-5</v>
      </c>
      <c r="F3" s="19">
        <v>0</v>
      </c>
      <c r="G3" s="16">
        <v>0</v>
      </c>
      <c r="H3" s="22">
        <v>1.0442023925287319E-4</v>
      </c>
      <c r="I3" s="25">
        <v>0</v>
      </c>
      <c r="J3" s="22">
        <v>1.3331555792560992E-5</v>
      </c>
      <c r="K3" s="25">
        <v>0</v>
      </c>
      <c r="L3" s="22">
        <v>0</v>
      </c>
      <c r="M3" s="25">
        <v>0</v>
      </c>
      <c r="N3" s="19">
        <v>0</v>
      </c>
      <c r="O3" s="19">
        <v>0</v>
      </c>
      <c r="P3" s="16">
        <v>0</v>
      </c>
      <c r="Q3" s="19">
        <v>0</v>
      </c>
      <c r="R3" s="16">
        <v>4.2845513360659254E-5</v>
      </c>
      <c r="S3" s="25">
        <v>0</v>
      </c>
      <c r="T3" s="22">
        <v>3.1591184795794582E-5</v>
      </c>
      <c r="U3" s="25">
        <v>0</v>
      </c>
      <c r="V3" s="22">
        <v>0</v>
      </c>
      <c r="W3" s="25">
        <v>0</v>
      </c>
    </row>
    <row r="4" spans="1:23" x14ac:dyDescent="0.2">
      <c r="A4" s="6" t="s">
        <v>355</v>
      </c>
      <c r="B4" s="19">
        <v>0</v>
      </c>
      <c r="C4" s="16">
        <v>0</v>
      </c>
      <c r="D4" s="19">
        <v>5.684846331497602E-5</v>
      </c>
      <c r="E4" s="16">
        <v>0</v>
      </c>
      <c r="F4" s="19">
        <v>2.2887310512141718E-5</v>
      </c>
      <c r="G4" s="16">
        <v>0</v>
      </c>
      <c r="H4" s="22">
        <v>4.568385467313202E-5</v>
      </c>
      <c r="I4" s="25">
        <v>0</v>
      </c>
      <c r="J4" s="22">
        <v>0</v>
      </c>
      <c r="K4" s="25">
        <v>0</v>
      </c>
      <c r="L4" s="22">
        <v>2.5207190812286356E-4</v>
      </c>
      <c r="M4" s="25">
        <v>1.2637179913535084E-4</v>
      </c>
      <c r="N4" s="19">
        <v>0</v>
      </c>
      <c r="O4" s="19">
        <v>0</v>
      </c>
      <c r="P4" s="16">
        <v>0</v>
      </c>
      <c r="Q4" s="19">
        <v>0</v>
      </c>
      <c r="R4" s="16">
        <v>0</v>
      </c>
      <c r="S4" s="25">
        <v>0</v>
      </c>
      <c r="T4" s="22">
        <v>0</v>
      </c>
      <c r="U4" s="25">
        <v>0</v>
      </c>
      <c r="V4" s="22">
        <v>0</v>
      </c>
      <c r="W4" s="25">
        <v>0</v>
      </c>
    </row>
    <row r="5" spans="1:23" x14ac:dyDescent="0.2">
      <c r="A5" s="6" t="s">
        <v>354</v>
      </c>
      <c r="B5" s="19">
        <v>9.2548521867893594E-5</v>
      </c>
      <c r="C5" s="16">
        <v>0</v>
      </c>
      <c r="D5" s="19">
        <v>0</v>
      </c>
      <c r="E5" s="16">
        <v>0</v>
      </c>
      <c r="F5" s="19">
        <v>0</v>
      </c>
      <c r="G5" s="16">
        <v>0</v>
      </c>
      <c r="H5" s="22">
        <v>0</v>
      </c>
      <c r="I5" s="25">
        <v>0</v>
      </c>
      <c r="J5" s="22">
        <v>0</v>
      </c>
      <c r="K5" s="25">
        <v>0</v>
      </c>
      <c r="L5" s="22">
        <v>0</v>
      </c>
      <c r="M5" s="25">
        <v>0</v>
      </c>
      <c r="N5" s="19">
        <v>0</v>
      </c>
      <c r="O5" s="19">
        <v>0</v>
      </c>
      <c r="P5" s="16">
        <v>0</v>
      </c>
      <c r="Q5" s="19">
        <v>0</v>
      </c>
      <c r="R5" s="16">
        <v>0</v>
      </c>
      <c r="S5" s="25">
        <v>0</v>
      </c>
      <c r="T5" s="22">
        <v>0</v>
      </c>
      <c r="U5" s="25">
        <v>0</v>
      </c>
      <c r="V5" s="22">
        <v>0</v>
      </c>
      <c r="W5" s="25">
        <v>0</v>
      </c>
    </row>
    <row r="6" spans="1:23" x14ac:dyDescent="0.2">
      <c r="A6" s="6" t="s">
        <v>353</v>
      </c>
      <c r="B6" s="19">
        <v>1.3089005235602094E-2</v>
      </c>
      <c r="C6" s="16">
        <v>1.3593806265754411E-2</v>
      </c>
      <c r="D6" s="19">
        <v>1.4290282465802093E-2</v>
      </c>
      <c r="E6" s="16">
        <v>4.809292531331724E-3</v>
      </c>
      <c r="F6" s="19">
        <v>1.1046941873860402E-2</v>
      </c>
      <c r="G6" s="16">
        <v>4.5717532802975504E-3</v>
      </c>
      <c r="H6" s="22">
        <v>2.1275623747772916E-3</v>
      </c>
      <c r="I6" s="25">
        <v>4.2563878013599839E-3</v>
      </c>
      <c r="J6" s="22">
        <v>2.0330622583655516E-3</v>
      </c>
      <c r="K6" s="25">
        <v>8.3112147778760818E-4</v>
      </c>
      <c r="L6" s="22">
        <v>2.089737599291739E-2</v>
      </c>
      <c r="M6" s="25">
        <v>2.4429664117060199E-2</v>
      </c>
      <c r="N6" s="19">
        <v>1.0279519253180972E-2</v>
      </c>
      <c r="O6" s="19">
        <v>2.0538098172109259E-3</v>
      </c>
      <c r="P6" s="16">
        <v>4.235589296568849E-3</v>
      </c>
      <c r="Q6" s="19">
        <v>2.8023165817075446E-3</v>
      </c>
      <c r="R6" s="16">
        <v>3.2991045287707613E-3</v>
      </c>
      <c r="S6" s="25">
        <v>1.1013286789852319E-3</v>
      </c>
      <c r="T6" s="22">
        <v>7.6008390618681762E-3</v>
      </c>
      <c r="U6" s="25">
        <v>4.2844410491469313E-3</v>
      </c>
      <c r="V6" s="22">
        <v>6.3771732486404388E-3</v>
      </c>
      <c r="W6" s="25">
        <v>2.3737894086132286E-3</v>
      </c>
    </row>
    <row r="7" spans="1:23" x14ac:dyDescent="0.2">
      <c r="A7" s="6" t="s">
        <v>352</v>
      </c>
      <c r="B7" s="19">
        <v>0</v>
      </c>
      <c r="C7" s="16">
        <v>0</v>
      </c>
      <c r="D7" s="19">
        <v>2.842423165748801E-5</v>
      </c>
      <c r="E7" s="16">
        <v>0</v>
      </c>
      <c r="F7" s="19">
        <v>0</v>
      </c>
      <c r="G7" s="16">
        <v>0</v>
      </c>
      <c r="H7" s="22">
        <v>5.8736384579741169E-5</v>
      </c>
      <c r="I7" s="25">
        <v>1.4166494951576344E-4</v>
      </c>
      <c r="J7" s="22">
        <v>1.0665244634048793E-4</v>
      </c>
      <c r="K7" s="25">
        <v>8.7133703316442799E-5</v>
      </c>
      <c r="L7" s="22">
        <v>1.7829476428202543E-4</v>
      </c>
      <c r="M7" s="25">
        <v>1.9288327236448289E-4</v>
      </c>
      <c r="N7" s="19">
        <v>0</v>
      </c>
      <c r="O7" s="19">
        <v>0</v>
      </c>
      <c r="P7" s="16">
        <v>0</v>
      </c>
      <c r="Q7" s="19">
        <v>0</v>
      </c>
      <c r="R7" s="16">
        <v>0</v>
      </c>
      <c r="S7" s="25">
        <v>5.1524148724455294E-5</v>
      </c>
      <c r="T7" s="22">
        <v>4.0436716538617062E-4</v>
      </c>
      <c r="U7" s="25">
        <v>4.2016806722689073E-4</v>
      </c>
      <c r="V7" s="22">
        <v>4.4110882154627547E-5</v>
      </c>
      <c r="W7" s="25">
        <v>2.7199670307026584E-4</v>
      </c>
    </row>
    <row r="8" spans="1:23" x14ac:dyDescent="0.2">
      <c r="A8" s="6" t="s">
        <v>351</v>
      </c>
      <c r="B8" s="19">
        <v>1.9831826114548629E-5</v>
      </c>
      <c r="C8" s="16">
        <v>6.2325143347829697E-5</v>
      </c>
      <c r="D8" s="19">
        <v>5.684846331497602E-5</v>
      </c>
      <c r="E8" s="16">
        <v>6.792786061203002E-5</v>
      </c>
      <c r="F8" s="19">
        <v>0</v>
      </c>
      <c r="G8" s="16">
        <v>4.3048524296587115E-5</v>
      </c>
      <c r="H8" s="22">
        <v>5.8736384579741169E-5</v>
      </c>
      <c r="I8" s="25">
        <v>0</v>
      </c>
      <c r="J8" s="22">
        <v>2.6663111585121983E-5</v>
      </c>
      <c r="K8" s="25">
        <v>0</v>
      </c>
      <c r="L8" s="22">
        <v>2.459238128027937E-5</v>
      </c>
      <c r="M8" s="25">
        <v>0</v>
      </c>
      <c r="N8" s="19">
        <v>0</v>
      </c>
      <c r="O8" s="19">
        <v>8.6891953805077649E-5</v>
      </c>
      <c r="P8" s="16">
        <v>7.1132033988179143E-5</v>
      </c>
      <c r="Q8" s="19">
        <v>0</v>
      </c>
      <c r="R8" s="16">
        <v>9.9972864508204916E-5</v>
      </c>
      <c r="S8" s="25">
        <v>0</v>
      </c>
      <c r="T8" s="22">
        <v>0</v>
      </c>
      <c r="U8" s="25">
        <v>1.2732365673542144E-5</v>
      </c>
      <c r="V8" s="22">
        <v>3.7809327561109323E-5</v>
      </c>
      <c r="W8" s="25">
        <v>0</v>
      </c>
    </row>
    <row r="9" spans="1:23" x14ac:dyDescent="0.2">
      <c r="A9" s="6" t="s">
        <v>350</v>
      </c>
      <c r="B9" s="19">
        <v>0</v>
      </c>
      <c r="C9" s="16">
        <v>0</v>
      </c>
      <c r="D9" s="19">
        <v>0</v>
      </c>
      <c r="E9" s="16">
        <v>0</v>
      </c>
      <c r="F9" s="19">
        <v>0</v>
      </c>
      <c r="G9" s="16">
        <v>0</v>
      </c>
      <c r="H9" s="22">
        <v>0</v>
      </c>
      <c r="I9" s="25">
        <v>0</v>
      </c>
      <c r="J9" s="22">
        <v>0</v>
      </c>
      <c r="K9" s="25">
        <v>0</v>
      </c>
      <c r="L9" s="22">
        <v>0</v>
      </c>
      <c r="M9" s="25">
        <v>0</v>
      </c>
      <c r="N9" s="19">
        <v>0</v>
      </c>
      <c r="O9" s="19">
        <v>0</v>
      </c>
      <c r="P9" s="16">
        <v>0</v>
      </c>
      <c r="Q9" s="19">
        <v>0</v>
      </c>
      <c r="R9" s="16">
        <v>0</v>
      </c>
      <c r="S9" s="25">
        <v>0</v>
      </c>
      <c r="T9" s="22">
        <v>4.4227658714112412E-5</v>
      </c>
      <c r="U9" s="25">
        <v>0</v>
      </c>
      <c r="V9" s="22">
        <v>0</v>
      </c>
      <c r="W9" s="25">
        <v>0</v>
      </c>
    </row>
    <row r="10" spans="1:23" x14ac:dyDescent="0.2">
      <c r="A10" s="6" t="s">
        <v>349</v>
      </c>
      <c r="B10" s="19">
        <v>2.5378126817917394E-2</v>
      </c>
      <c r="C10" s="16">
        <v>1.1163125675189059E-2</v>
      </c>
      <c r="D10" s="19">
        <v>5.3075146562444525E-2</v>
      </c>
      <c r="E10" s="16">
        <v>2.3360391264477125E-2</v>
      </c>
      <c r="F10" s="19">
        <v>3.3934252386002159E-2</v>
      </c>
      <c r="G10" s="16">
        <v>8.4375107621310775E-3</v>
      </c>
      <c r="H10" s="22">
        <v>9.7632923701436412E-3</v>
      </c>
      <c r="I10" s="25">
        <v>5.0226663919225199E-3</v>
      </c>
      <c r="J10" s="22">
        <v>1.8557525663244895E-2</v>
      </c>
      <c r="K10" s="25">
        <v>5.5497466420011314E-3</v>
      </c>
      <c r="L10" s="22">
        <v>2.4162014607874482E-2</v>
      </c>
      <c r="M10" s="25">
        <v>2.3139341536415035E-2</v>
      </c>
      <c r="N10" s="19">
        <v>3.9552243266018437E-2</v>
      </c>
      <c r="O10" s="19">
        <v>1.357094333064757E-2</v>
      </c>
      <c r="P10" s="16">
        <v>2.3997361648193893E-2</v>
      </c>
      <c r="Q10" s="19">
        <v>6.738904160772905E-3</v>
      </c>
      <c r="R10" s="16">
        <v>1.0297205044345102E-2</v>
      </c>
      <c r="S10" s="25">
        <v>3.793465449838019E-3</v>
      </c>
      <c r="T10" s="22">
        <v>1.164451071572987E-2</v>
      </c>
      <c r="U10" s="25">
        <v>6.3916475681181579E-3</v>
      </c>
      <c r="V10" s="22">
        <v>2.4134954093174791E-2</v>
      </c>
      <c r="W10" s="25">
        <v>3.3134143828559654E-3</v>
      </c>
    </row>
    <row r="11" spans="1:23" x14ac:dyDescent="0.2">
      <c r="A11" s="6" t="s">
        <v>348</v>
      </c>
      <c r="B11" s="19">
        <v>0</v>
      </c>
      <c r="C11" s="16">
        <v>0</v>
      </c>
      <c r="D11" s="19">
        <v>5.3295434357790016E-4</v>
      </c>
      <c r="E11" s="16">
        <v>6.792786061203002E-5</v>
      </c>
      <c r="F11" s="19">
        <v>1.5105624938013533E-3</v>
      </c>
      <c r="G11" s="16">
        <v>2.5829114577952269E-4</v>
      </c>
      <c r="H11" s="22">
        <v>6.3957396542384834E-4</v>
      </c>
      <c r="I11" s="25">
        <v>0</v>
      </c>
      <c r="J11" s="22">
        <v>1.9997333688841486E-4</v>
      </c>
      <c r="K11" s="25">
        <v>5.3620740502426337E-5</v>
      </c>
      <c r="L11" s="22">
        <v>7.3162334308831138E-4</v>
      </c>
      <c r="M11" s="25">
        <v>8.3139341536415045E-4</v>
      </c>
      <c r="N11" s="19">
        <v>0</v>
      </c>
      <c r="O11" s="19">
        <v>0</v>
      </c>
      <c r="P11" s="16">
        <v>0</v>
      </c>
      <c r="Q11" s="19">
        <v>3.6029784621954147E-4</v>
      </c>
      <c r="R11" s="16">
        <v>0</v>
      </c>
      <c r="S11" s="25">
        <v>1.7389400194503659E-4</v>
      </c>
      <c r="T11" s="22">
        <v>3.8730792559644161E-3</v>
      </c>
      <c r="U11" s="25">
        <v>8.021390374331551E-4</v>
      </c>
      <c r="V11" s="22">
        <v>3.5918861183053858E-4</v>
      </c>
      <c r="W11" s="25">
        <v>2.4726973006387802E-5</v>
      </c>
    </row>
    <row r="12" spans="1:23" x14ac:dyDescent="0.2">
      <c r="A12" s="6" t="s">
        <v>347</v>
      </c>
      <c r="B12" s="19">
        <v>4.2374001798085566E-3</v>
      </c>
      <c r="C12" s="16">
        <v>1.149552643971081E-3</v>
      </c>
      <c r="D12" s="19">
        <v>1.8660508083140882E-2</v>
      </c>
      <c r="E12" s="16">
        <v>6.8063716333254115E-3</v>
      </c>
      <c r="F12" s="19">
        <v>1.2839781197311502E-2</v>
      </c>
      <c r="G12" s="16">
        <v>1.8975789509935607E-2</v>
      </c>
      <c r="H12" s="22">
        <v>8.6538273280818631E-3</v>
      </c>
      <c r="I12" s="25">
        <v>2.8332989903152693E-4</v>
      </c>
      <c r="J12" s="22">
        <v>9.8653512864951354E-4</v>
      </c>
      <c r="K12" s="25">
        <v>1.6086222150727902E-4</v>
      </c>
      <c r="L12" s="22">
        <v>4.414332439810144E-3</v>
      </c>
      <c r="M12" s="25">
        <v>4.3964083804456265E-3</v>
      </c>
      <c r="N12" s="19">
        <v>8.211662473180616E-3</v>
      </c>
      <c r="O12" s="19">
        <v>1.5774839249885451E-2</v>
      </c>
      <c r="P12" s="16">
        <v>8.186650457184981E-3</v>
      </c>
      <c r="Q12" s="19">
        <v>1.1155888868130985E-2</v>
      </c>
      <c r="R12" s="16">
        <v>1.0040131964181149E-2</v>
      </c>
      <c r="S12" s="25">
        <v>2.0609659489782115E-4</v>
      </c>
      <c r="T12" s="22">
        <v>8.7760311362717214E-3</v>
      </c>
      <c r="U12" s="25">
        <v>4.4626941685765214E-3</v>
      </c>
      <c r="V12" s="22">
        <v>4.2787555689988736E-3</v>
      </c>
      <c r="W12" s="25">
        <v>4.4508551411498042E-4</v>
      </c>
    </row>
    <row r="13" spans="1:23" x14ac:dyDescent="0.2">
      <c r="A13" s="6" t="s">
        <v>346</v>
      </c>
      <c r="B13" s="19">
        <v>0</v>
      </c>
      <c r="C13" s="16">
        <v>0</v>
      </c>
      <c r="D13" s="19">
        <v>8.5272694972464023E-5</v>
      </c>
      <c r="E13" s="16">
        <v>0</v>
      </c>
      <c r="F13" s="19">
        <v>3.8908427870640923E-4</v>
      </c>
      <c r="G13" s="16">
        <v>6.026793401522196E-5</v>
      </c>
      <c r="H13" s="22">
        <v>5.4820625607758424E-4</v>
      </c>
      <c r="I13" s="25">
        <v>2.260199876365135E-3</v>
      </c>
      <c r="J13" s="22">
        <v>0</v>
      </c>
      <c r="K13" s="25">
        <v>0</v>
      </c>
      <c r="L13" s="22">
        <v>4.7770700636942682E-3</v>
      </c>
      <c r="M13" s="25">
        <v>7.0701696042567343E-3</v>
      </c>
      <c r="N13" s="19">
        <v>4.1835252774573728E-5</v>
      </c>
      <c r="O13" s="19">
        <v>6.3194148221874653E-5</v>
      </c>
      <c r="P13" s="16">
        <v>0</v>
      </c>
      <c r="Q13" s="19">
        <v>0</v>
      </c>
      <c r="R13" s="16">
        <v>0</v>
      </c>
      <c r="S13" s="25">
        <v>8.3726741677239851E-5</v>
      </c>
      <c r="T13" s="22">
        <v>3.4560756166599274E-3</v>
      </c>
      <c r="U13" s="25">
        <v>1.5851795263559969E-3</v>
      </c>
      <c r="V13" s="22">
        <v>0</v>
      </c>
      <c r="W13" s="25">
        <v>0</v>
      </c>
    </row>
    <row r="14" spans="1:23" x14ac:dyDescent="0.2">
      <c r="A14" s="6" t="s">
        <v>345</v>
      </c>
      <c r="B14" s="19">
        <v>7.2716695753344965E-5</v>
      </c>
      <c r="C14" s="16">
        <v>0</v>
      </c>
      <c r="D14" s="19">
        <v>0</v>
      </c>
      <c r="E14" s="16">
        <v>0</v>
      </c>
      <c r="F14" s="19">
        <v>0</v>
      </c>
      <c r="G14" s="16">
        <v>0</v>
      </c>
      <c r="H14" s="22">
        <v>0</v>
      </c>
      <c r="I14" s="25">
        <v>3.2196579435400785E-5</v>
      </c>
      <c r="J14" s="22">
        <v>4.666044527396347E-5</v>
      </c>
      <c r="K14" s="25">
        <v>0</v>
      </c>
      <c r="L14" s="22">
        <v>0</v>
      </c>
      <c r="M14" s="25">
        <v>0</v>
      </c>
      <c r="N14" s="19">
        <v>0</v>
      </c>
      <c r="O14" s="19">
        <v>0</v>
      </c>
      <c r="P14" s="16">
        <v>0</v>
      </c>
      <c r="Q14" s="19">
        <v>2.6688729349595664E-5</v>
      </c>
      <c r="R14" s="16">
        <v>0</v>
      </c>
      <c r="S14" s="25">
        <v>0</v>
      </c>
      <c r="T14" s="22">
        <v>1.8322887181560857E-4</v>
      </c>
      <c r="U14" s="25">
        <v>5.0929462694168576E-5</v>
      </c>
      <c r="V14" s="22">
        <v>0</v>
      </c>
      <c r="W14" s="25">
        <v>0</v>
      </c>
    </row>
    <row r="15" spans="1:23" x14ac:dyDescent="0.2">
      <c r="A15" s="6" t="s">
        <v>344</v>
      </c>
      <c r="B15" s="19">
        <v>3.9663652229097259E-5</v>
      </c>
      <c r="C15" s="16">
        <v>0</v>
      </c>
      <c r="D15" s="19">
        <v>0</v>
      </c>
      <c r="E15" s="16">
        <v>7.4720646673233032E-5</v>
      </c>
      <c r="F15" s="19">
        <v>2.2887310512141718E-5</v>
      </c>
      <c r="G15" s="16">
        <v>0</v>
      </c>
      <c r="H15" s="22">
        <v>0</v>
      </c>
      <c r="I15" s="25">
        <v>0</v>
      </c>
      <c r="J15" s="22">
        <v>0</v>
      </c>
      <c r="K15" s="25">
        <v>0</v>
      </c>
      <c r="L15" s="22">
        <v>2.459238128027937E-5</v>
      </c>
      <c r="M15" s="25">
        <v>0</v>
      </c>
      <c r="N15" s="19">
        <v>2.3905858728327845E-5</v>
      </c>
      <c r="O15" s="19">
        <v>0</v>
      </c>
      <c r="P15" s="16">
        <v>0</v>
      </c>
      <c r="Q15" s="19">
        <v>0</v>
      </c>
      <c r="R15" s="16">
        <v>0</v>
      </c>
      <c r="S15" s="25">
        <v>1.9321555771670734E-5</v>
      </c>
      <c r="T15" s="22">
        <v>4.5491306105944199E-4</v>
      </c>
      <c r="U15" s="25">
        <v>1.2732365673542144E-5</v>
      </c>
      <c r="V15" s="22">
        <v>0</v>
      </c>
      <c r="W15" s="25">
        <v>1.6484648670925202E-5</v>
      </c>
    </row>
    <row r="16" spans="1:23" x14ac:dyDescent="0.2">
      <c r="A16" s="6" t="s">
        <v>343</v>
      </c>
      <c r="B16" s="19">
        <v>4.0985773970067166E-4</v>
      </c>
      <c r="C16" s="16">
        <v>6.23251433478297E-4</v>
      </c>
      <c r="D16" s="19">
        <v>1.1369692662995205E-3</v>
      </c>
      <c r="E16" s="16">
        <v>7.4720646673233034E-4</v>
      </c>
      <c r="F16" s="19">
        <v>2.8685429175217617E-3</v>
      </c>
      <c r="G16" s="16">
        <v>1.0848228122739953E-3</v>
      </c>
      <c r="H16" s="22">
        <v>9.463084182291633E-4</v>
      </c>
      <c r="I16" s="25">
        <v>1.1397589120131877E-3</v>
      </c>
      <c r="J16" s="22">
        <v>1.5664578056259165E-3</v>
      </c>
      <c r="K16" s="25">
        <v>1.8633207324593153E-3</v>
      </c>
      <c r="L16" s="22">
        <v>1.2357671593340384E-3</v>
      </c>
      <c r="M16" s="25">
        <v>7.1832391087462593E-4</v>
      </c>
      <c r="N16" s="19">
        <v>5.0202303329488474E-4</v>
      </c>
      <c r="O16" s="19">
        <v>3.001722040539046E-4</v>
      </c>
      <c r="P16" s="16">
        <v>3.5566016994089577E-4</v>
      </c>
      <c r="Q16" s="19">
        <v>1.8682110544716965E-4</v>
      </c>
      <c r="R16" s="16">
        <v>7.0695097045087756E-4</v>
      </c>
      <c r="S16" s="25">
        <v>2.4602781015927401E-3</v>
      </c>
      <c r="T16" s="22">
        <v>1.1436008896077638E-3</v>
      </c>
      <c r="U16" s="25">
        <v>1.5342500636618287E-3</v>
      </c>
      <c r="V16" s="22">
        <v>1.1090736084592068E-3</v>
      </c>
      <c r="W16" s="25">
        <v>4.0469812487121367E-3</v>
      </c>
    </row>
    <row r="17" spans="1:23" x14ac:dyDescent="0.2">
      <c r="A17" s="6" t="s">
        <v>342</v>
      </c>
      <c r="B17" s="19">
        <v>8.7260034904013963E-4</v>
      </c>
      <c r="C17" s="16">
        <v>2.9708318329132151E-3</v>
      </c>
      <c r="D17" s="19">
        <v>2.7855747024338249E-3</v>
      </c>
      <c r="E17" s="16">
        <v>4.5987161634344327E-3</v>
      </c>
      <c r="F17" s="19">
        <v>6.7136110835615704E-4</v>
      </c>
      <c r="G17" s="16">
        <v>2.7206667355443056E-3</v>
      </c>
      <c r="H17" s="22">
        <v>1.0442023925287319E-3</v>
      </c>
      <c r="I17" s="25">
        <v>2.7689058314444675E-4</v>
      </c>
      <c r="J17" s="22">
        <v>2.68630849220104E-3</v>
      </c>
      <c r="K17" s="25">
        <v>6.0993592321509956E-4</v>
      </c>
      <c r="L17" s="22">
        <v>1.4816909721368321E-3</v>
      </c>
      <c r="M17" s="25">
        <v>1.1572996341868973E-3</v>
      </c>
      <c r="N17" s="19">
        <v>9.8611667254352368E-4</v>
      </c>
      <c r="O17" s="19">
        <v>7.1093416749608987E-3</v>
      </c>
      <c r="P17" s="16">
        <v>4.1515241654919103E-3</v>
      </c>
      <c r="Q17" s="19">
        <v>2.2818863593904292E-3</v>
      </c>
      <c r="R17" s="16">
        <v>3.0991587997543524E-3</v>
      </c>
      <c r="S17" s="25">
        <v>2.7050178080339029E-4</v>
      </c>
      <c r="T17" s="22">
        <v>1.8322887181560859E-3</v>
      </c>
      <c r="U17" s="25">
        <v>1.5151515151515152E-3</v>
      </c>
      <c r="V17" s="22">
        <v>1.4367544473221543E-3</v>
      </c>
      <c r="W17" s="25">
        <v>2.3655470842777662E-3</v>
      </c>
    </row>
    <row r="18" spans="1:23" x14ac:dyDescent="0.2">
      <c r="A18" s="6" t="s">
        <v>341</v>
      </c>
      <c r="B18" s="19">
        <v>1.1238034798244224E-4</v>
      </c>
      <c r="C18" s="16">
        <v>2.7700063710146534E-4</v>
      </c>
      <c r="D18" s="19">
        <v>1.4922721620181205E-4</v>
      </c>
      <c r="E18" s="16">
        <v>2.0378358183609007E-4</v>
      </c>
      <c r="F18" s="19">
        <v>1.7546938059308652E-4</v>
      </c>
      <c r="G18" s="16">
        <v>1.119261631711265E-4</v>
      </c>
      <c r="H18" s="22">
        <v>2.3233503233764281E-3</v>
      </c>
      <c r="I18" s="25">
        <v>2.8783742015248298E-3</v>
      </c>
      <c r="J18" s="22">
        <v>3.1929076123183566E-3</v>
      </c>
      <c r="K18" s="25">
        <v>4.9733236816000429E-3</v>
      </c>
      <c r="L18" s="22">
        <v>1.0759166810122226E-3</v>
      </c>
      <c r="M18" s="25">
        <v>1.2371134020618558E-3</v>
      </c>
      <c r="N18" s="19">
        <v>8.5463444953772047E-4</v>
      </c>
      <c r="O18" s="19">
        <v>1.974817131933583E-4</v>
      </c>
      <c r="P18" s="16">
        <v>1.6166371360949806E-4</v>
      </c>
      <c r="Q18" s="19">
        <v>7.2059569243908294E-4</v>
      </c>
      <c r="R18" s="16">
        <v>4.2131421471314928E-4</v>
      </c>
      <c r="S18" s="25">
        <v>5.6805373968711942E-3</v>
      </c>
      <c r="T18" s="22">
        <v>1.7943792964011322E-3</v>
      </c>
      <c r="U18" s="25">
        <v>3.7942449707155596E-3</v>
      </c>
      <c r="V18" s="22">
        <v>2.0227990245193493E-3</v>
      </c>
      <c r="W18" s="25">
        <v>8.6544405522357339E-3</v>
      </c>
    </row>
    <row r="19" spans="1:23" x14ac:dyDescent="0.2">
      <c r="A19" s="6" t="s">
        <v>340</v>
      </c>
      <c r="B19" s="19">
        <v>0</v>
      </c>
      <c r="C19" s="16">
        <v>3.4625079637683168E-5</v>
      </c>
      <c r="D19" s="19">
        <v>1.4212115828744005E-5</v>
      </c>
      <c r="E19" s="16">
        <v>0</v>
      </c>
      <c r="F19" s="19">
        <v>0</v>
      </c>
      <c r="G19" s="16">
        <v>0</v>
      </c>
      <c r="H19" s="22">
        <v>0</v>
      </c>
      <c r="I19" s="25">
        <v>0</v>
      </c>
      <c r="J19" s="22">
        <v>0</v>
      </c>
      <c r="K19" s="25">
        <v>0</v>
      </c>
      <c r="L19" s="22">
        <v>1.2296190640139685E-5</v>
      </c>
      <c r="M19" s="25">
        <v>0</v>
      </c>
      <c r="N19" s="19">
        <v>0</v>
      </c>
      <c r="O19" s="19">
        <v>1.1848902791601498E-4</v>
      </c>
      <c r="P19" s="16">
        <v>0</v>
      </c>
      <c r="Q19" s="19">
        <v>0</v>
      </c>
      <c r="R19" s="16">
        <v>1.4281837786886417E-5</v>
      </c>
      <c r="S19" s="25">
        <v>1.2881037181113824E-5</v>
      </c>
      <c r="T19" s="22">
        <v>0</v>
      </c>
      <c r="U19" s="25">
        <v>0</v>
      </c>
      <c r="V19" s="22">
        <v>0</v>
      </c>
      <c r="W19" s="25">
        <v>0</v>
      </c>
    </row>
    <row r="20" spans="1:23" x14ac:dyDescent="0.2">
      <c r="A20" s="6" t="s">
        <v>339</v>
      </c>
      <c r="B20" s="19">
        <v>0</v>
      </c>
      <c r="C20" s="16">
        <v>0</v>
      </c>
      <c r="D20" s="19">
        <v>0</v>
      </c>
      <c r="E20" s="16">
        <v>0</v>
      </c>
      <c r="F20" s="19">
        <v>0</v>
      </c>
      <c r="G20" s="16">
        <v>0</v>
      </c>
      <c r="H20" s="22">
        <v>0</v>
      </c>
      <c r="I20" s="25">
        <v>0</v>
      </c>
      <c r="J20" s="22">
        <v>4.666044527396347E-5</v>
      </c>
      <c r="K20" s="25">
        <v>0</v>
      </c>
      <c r="L20" s="22">
        <v>0</v>
      </c>
      <c r="M20" s="25">
        <v>0</v>
      </c>
      <c r="N20" s="19">
        <v>0</v>
      </c>
      <c r="O20" s="19">
        <v>4.7395611166405993E-4</v>
      </c>
      <c r="P20" s="16">
        <v>0</v>
      </c>
      <c r="Q20" s="19">
        <v>0</v>
      </c>
      <c r="R20" s="16">
        <v>0</v>
      </c>
      <c r="S20" s="25">
        <v>0</v>
      </c>
      <c r="T20" s="22">
        <v>0</v>
      </c>
      <c r="U20" s="25">
        <v>0</v>
      </c>
      <c r="V20" s="22">
        <v>0</v>
      </c>
      <c r="W20" s="25">
        <v>0</v>
      </c>
    </row>
    <row r="21" spans="1:23" x14ac:dyDescent="0.2">
      <c r="A21" s="6" t="s">
        <v>338</v>
      </c>
      <c r="B21" s="19">
        <v>2.0162356549791103E-3</v>
      </c>
      <c r="C21" s="16">
        <v>4.4320101936234452E-4</v>
      </c>
      <c r="D21" s="19">
        <v>1.2719843666725884E-3</v>
      </c>
      <c r="E21" s="16">
        <v>7.0644975036511222E-4</v>
      </c>
      <c r="F21" s="19">
        <v>7.4002303989258221E-4</v>
      </c>
      <c r="G21" s="16">
        <v>2.3246203120157042E-4</v>
      </c>
      <c r="H21" s="22">
        <v>1.7686178023455395E-3</v>
      </c>
      <c r="I21" s="25">
        <v>5.8597774572429428E-4</v>
      </c>
      <c r="J21" s="22">
        <v>1.666444474070124E-4</v>
      </c>
      <c r="K21" s="25">
        <v>3.0831925788895145E-4</v>
      </c>
      <c r="L21" s="22">
        <v>1.5493200206576005E-3</v>
      </c>
      <c r="M21" s="25">
        <v>1.0375789823744595E-3</v>
      </c>
      <c r="N21" s="19">
        <v>1.7451276871679328E-3</v>
      </c>
      <c r="O21" s="19">
        <v>4.7395611166405988E-4</v>
      </c>
      <c r="P21" s="16">
        <v>2.9099468449709652E-4</v>
      </c>
      <c r="Q21" s="19">
        <v>3.8698657556913714E-4</v>
      </c>
      <c r="R21" s="16">
        <v>1.2853654008197773E-4</v>
      </c>
      <c r="S21" s="25">
        <v>4.3795526415786997E-4</v>
      </c>
      <c r="T21" s="22">
        <v>1.9144257986251515E-3</v>
      </c>
      <c r="U21" s="25">
        <v>9.5492742551566074E-4</v>
      </c>
      <c r="V21" s="22">
        <v>2.9617306589535639E-4</v>
      </c>
      <c r="W21" s="25">
        <v>2.4726973006387802E-5</v>
      </c>
    </row>
    <row r="22" spans="1:23" x14ac:dyDescent="0.2">
      <c r="A22" s="6" t="s">
        <v>337</v>
      </c>
      <c r="B22" s="19">
        <v>4.9586175895076468E-2</v>
      </c>
      <c r="C22" s="16">
        <v>0.10841112434558606</v>
      </c>
      <c r="D22" s="19">
        <v>3.5651092556404335E-2</v>
      </c>
      <c r="E22" s="16">
        <v>4.60890534252624E-2</v>
      </c>
      <c r="F22" s="19">
        <v>5.8454191048009946E-2</v>
      </c>
      <c r="G22" s="16">
        <v>3.3018218135482315E-2</v>
      </c>
      <c r="H22" s="22">
        <v>2.173898855945754E-2</v>
      </c>
      <c r="I22" s="25">
        <v>7.5526736039563128E-2</v>
      </c>
      <c r="J22" s="22">
        <v>7.3463538194907391E-2</v>
      </c>
      <c r="K22" s="25">
        <v>6.3031180460602104E-2</v>
      </c>
      <c r="L22" s="22">
        <v>3.4257187123429164E-2</v>
      </c>
      <c r="M22" s="25">
        <v>3.2723644828732974E-2</v>
      </c>
      <c r="N22" s="19">
        <v>6.2531749968623568E-2</v>
      </c>
      <c r="O22" s="19">
        <v>3.5372924467194332E-2</v>
      </c>
      <c r="P22" s="16">
        <v>5.3336092394045589E-2</v>
      </c>
      <c r="Q22" s="19">
        <v>4.595799194000371E-2</v>
      </c>
      <c r="R22" s="16">
        <v>4.762992901926618E-2</v>
      </c>
      <c r="S22" s="25">
        <v>6.7245454604004704E-2</v>
      </c>
      <c r="T22" s="22">
        <v>4.8410331581075515E-2</v>
      </c>
      <c r="U22" s="25">
        <v>3.7808759867583377E-2</v>
      </c>
      <c r="V22" s="22">
        <v>5.0815736242130961E-2</v>
      </c>
      <c r="W22" s="25">
        <v>8.3972800329692981E-2</v>
      </c>
    </row>
    <row r="23" spans="1:23" x14ac:dyDescent="0.2">
      <c r="A23" s="27" t="s">
        <v>336</v>
      </c>
      <c r="B23" s="19">
        <v>0.12512560156539224</v>
      </c>
      <c r="C23" s="16">
        <v>0.13120827677903657</v>
      </c>
      <c r="D23" s="19">
        <v>8.9841890211405206E-2</v>
      </c>
      <c r="E23" s="16">
        <v>0.15996331895526991</v>
      </c>
      <c r="F23" s="19">
        <v>0.10738726092296902</v>
      </c>
      <c r="G23" s="16">
        <v>9.5473017184970976E-2</v>
      </c>
      <c r="H23" s="22">
        <v>0.15810529475875645</v>
      </c>
      <c r="I23" s="25">
        <v>0.12793632804450852</v>
      </c>
      <c r="J23" s="22">
        <v>0.1416011198506868</v>
      </c>
      <c r="K23" s="25">
        <v>0.13429984718088961</v>
      </c>
      <c r="L23" s="22">
        <v>0.14811376435580237</v>
      </c>
      <c r="M23" s="25">
        <v>0.10742933155969416</v>
      </c>
      <c r="N23" s="19">
        <v>0.10732535276082787</v>
      </c>
      <c r="O23" s="19">
        <v>9.7224197039354032E-2</v>
      </c>
      <c r="P23" s="16">
        <v>0.1418372757724293</v>
      </c>
      <c r="Q23" s="19">
        <v>9.6252902399316762E-2</v>
      </c>
      <c r="R23" s="16">
        <v>0.12073151573144519</v>
      </c>
      <c r="S23" s="25">
        <v>0.13256519414943282</v>
      </c>
      <c r="T23" s="22">
        <v>0.12342044076021079</v>
      </c>
      <c r="U23" s="25">
        <v>9.8166539343009812E-2</v>
      </c>
      <c r="V23" s="22">
        <v>8.9519884555519832E-2</v>
      </c>
      <c r="W23" s="25">
        <v>9.9979394189161255E-2</v>
      </c>
    </row>
    <row r="24" spans="1:23" x14ac:dyDescent="0.2">
      <c r="A24" s="6" t="s">
        <v>335</v>
      </c>
      <c r="B24" s="19">
        <v>0</v>
      </c>
      <c r="C24" s="16">
        <v>0</v>
      </c>
      <c r="D24" s="19">
        <v>0</v>
      </c>
      <c r="E24" s="16">
        <v>0</v>
      </c>
      <c r="F24" s="19">
        <v>0</v>
      </c>
      <c r="G24" s="16">
        <v>0</v>
      </c>
      <c r="H24" s="22">
        <v>2.6105059813218297E-5</v>
      </c>
      <c r="I24" s="25">
        <v>0</v>
      </c>
      <c r="J24" s="22">
        <v>0</v>
      </c>
      <c r="K24" s="25">
        <v>0</v>
      </c>
      <c r="L24" s="22">
        <v>0</v>
      </c>
      <c r="M24" s="25">
        <v>0</v>
      </c>
      <c r="N24" s="19">
        <v>0</v>
      </c>
      <c r="O24" s="19">
        <v>0</v>
      </c>
      <c r="P24" s="16">
        <v>0</v>
      </c>
      <c r="Q24" s="19">
        <v>0</v>
      </c>
      <c r="R24" s="16">
        <v>0</v>
      </c>
      <c r="S24" s="25">
        <v>0</v>
      </c>
      <c r="T24" s="22">
        <v>0</v>
      </c>
      <c r="U24" s="25">
        <v>1.2732365673542144E-5</v>
      </c>
      <c r="V24" s="22">
        <v>0</v>
      </c>
      <c r="W24" s="25">
        <v>0</v>
      </c>
    </row>
    <row r="25" spans="1:23" x14ac:dyDescent="0.2">
      <c r="A25" s="6" t="s">
        <v>334</v>
      </c>
      <c r="B25" s="19">
        <v>2.4459252207943309E-4</v>
      </c>
      <c r="C25" s="16">
        <v>2.07750477826099E-5</v>
      </c>
      <c r="D25" s="19">
        <v>2.1318173743116006E-5</v>
      </c>
      <c r="E25" s="16">
        <v>0</v>
      </c>
      <c r="F25" s="19">
        <v>1.2206565606475583E-4</v>
      </c>
      <c r="G25" s="16">
        <v>0</v>
      </c>
      <c r="H25" s="22">
        <v>0</v>
      </c>
      <c r="I25" s="25">
        <v>0</v>
      </c>
      <c r="J25" s="22">
        <v>1.3331555792560992E-5</v>
      </c>
      <c r="K25" s="25">
        <v>0</v>
      </c>
      <c r="L25" s="22">
        <v>0</v>
      </c>
      <c r="M25" s="25">
        <v>0</v>
      </c>
      <c r="N25" s="19">
        <v>4.1835252774573728E-5</v>
      </c>
      <c r="O25" s="19">
        <v>0</v>
      </c>
      <c r="P25" s="16">
        <v>0</v>
      </c>
      <c r="Q25" s="19">
        <v>4.0033094024393497E-5</v>
      </c>
      <c r="R25" s="16">
        <v>2.8563675573772835E-5</v>
      </c>
      <c r="S25" s="25">
        <v>0</v>
      </c>
      <c r="T25" s="22">
        <v>0</v>
      </c>
      <c r="U25" s="25">
        <v>0</v>
      </c>
      <c r="V25" s="22">
        <v>0</v>
      </c>
      <c r="W25" s="25">
        <v>0</v>
      </c>
    </row>
    <row r="26" spans="1:23" x14ac:dyDescent="0.2">
      <c r="A26" s="6" t="s">
        <v>333</v>
      </c>
      <c r="B26" s="19">
        <v>0</v>
      </c>
      <c r="C26" s="16">
        <v>0</v>
      </c>
      <c r="D26" s="19">
        <v>1.4212115828744005E-5</v>
      </c>
      <c r="E26" s="16">
        <v>0</v>
      </c>
      <c r="F26" s="19">
        <v>0</v>
      </c>
      <c r="G26" s="16">
        <v>0</v>
      </c>
      <c r="H26" s="22">
        <v>0</v>
      </c>
      <c r="I26" s="25">
        <v>0</v>
      </c>
      <c r="J26" s="22">
        <v>0</v>
      </c>
      <c r="K26" s="25">
        <v>0</v>
      </c>
      <c r="L26" s="22">
        <v>0</v>
      </c>
      <c r="M26" s="25">
        <v>0</v>
      </c>
      <c r="N26" s="19">
        <v>0</v>
      </c>
      <c r="O26" s="19">
        <v>0</v>
      </c>
      <c r="P26" s="16">
        <v>0</v>
      </c>
      <c r="Q26" s="19">
        <v>0</v>
      </c>
      <c r="R26" s="16">
        <v>0</v>
      </c>
      <c r="S26" s="25">
        <v>0</v>
      </c>
      <c r="T26" s="22">
        <v>3.7909421754953497E-5</v>
      </c>
      <c r="U26" s="25">
        <v>0</v>
      </c>
      <c r="V26" s="22">
        <v>0</v>
      </c>
      <c r="W26" s="25">
        <v>0</v>
      </c>
    </row>
    <row r="27" spans="1:23" x14ac:dyDescent="0.2">
      <c r="A27" s="6" t="s">
        <v>332</v>
      </c>
      <c r="B27" s="19">
        <v>3.9663652229097259E-5</v>
      </c>
      <c r="C27" s="16">
        <v>4.15500955652198E-5</v>
      </c>
      <c r="D27" s="19">
        <v>1.7765144785930007E-4</v>
      </c>
      <c r="E27" s="16">
        <v>2.3774751214210508E-4</v>
      </c>
      <c r="F27" s="19">
        <v>4.5774621024283436E-5</v>
      </c>
      <c r="G27" s="16">
        <v>9.4706753452491652E-5</v>
      </c>
      <c r="H27" s="22">
        <v>1.3052529906609149E-4</v>
      </c>
      <c r="I27" s="25">
        <v>3.8635895322480941E-5</v>
      </c>
      <c r="J27" s="22">
        <v>1.3331555792560992E-5</v>
      </c>
      <c r="K27" s="25">
        <v>0</v>
      </c>
      <c r="L27" s="22">
        <v>3.7503381452426036E-4</v>
      </c>
      <c r="M27" s="25">
        <v>1.9953441968739607E-4</v>
      </c>
      <c r="N27" s="19">
        <v>0</v>
      </c>
      <c r="O27" s="19">
        <v>9.4791222332811986E-5</v>
      </c>
      <c r="P27" s="16">
        <v>7.7598582532559067E-5</v>
      </c>
      <c r="Q27" s="19">
        <v>1.4678801142277615E-4</v>
      </c>
      <c r="R27" s="16">
        <v>1.4281837786886417E-4</v>
      </c>
      <c r="S27" s="25">
        <v>0</v>
      </c>
      <c r="T27" s="22">
        <v>8.9087141124140714E-4</v>
      </c>
      <c r="U27" s="25">
        <v>1.0822510822510823E-4</v>
      </c>
      <c r="V27" s="22">
        <v>1.8904663780554662E-5</v>
      </c>
      <c r="W27" s="25">
        <v>2.4726973006387802E-5</v>
      </c>
    </row>
    <row r="28" spans="1:23" x14ac:dyDescent="0.2">
      <c r="A28" s="6" t="s">
        <v>331</v>
      </c>
      <c r="B28" s="19">
        <v>3.9663652229097259E-5</v>
      </c>
      <c r="C28" s="16">
        <v>0</v>
      </c>
      <c r="D28" s="19">
        <v>7.8166637058092026E-5</v>
      </c>
      <c r="E28" s="16">
        <v>2.7171144244812009E-5</v>
      </c>
      <c r="F28" s="19">
        <v>4.3485889973069266E-4</v>
      </c>
      <c r="G28" s="16">
        <v>6.026793401522196E-5</v>
      </c>
      <c r="H28" s="22">
        <v>3.9810216215157906E-4</v>
      </c>
      <c r="I28" s="25">
        <v>0</v>
      </c>
      <c r="J28" s="22">
        <v>0</v>
      </c>
      <c r="K28" s="25">
        <v>2.6810370251213168E-5</v>
      </c>
      <c r="L28" s="22">
        <v>4.9184762560558734E-5</v>
      </c>
      <c r="M28" s="25">
        <v>0</v>
      </c>
      <c r="N28" s="19">
        <v>5.9764646820819615E-5</v>
      </c>
      <c r="O28" s="19">
        <v>0</v>
      </c>
      <c r="P28" s="16">
        <v>0</v>
      </c>
      <c r="Q28" s="19">
        <v>3.0692038752035014E-4</v>
      </c>
      <c r="R28" s="16">
        <v>9.2831945614761698E-5</v>
      </c>
      <c r="S28" s="25">
        <v>2.5762074362227647E-5</v>
      </c>
      <c r="T28" s="22">
        <v>6.6973311767084523E-4</v>
      </c>
      <c r="U28" s="25">
        <v>6.366182836771072E-6</v>
      </c>
      <c r="V28" s="22">
        <v>0</v>
      </c>
      <c r="W28" s="25">
        <v>0</v>
      </c>
    </row>
    <row r="29" spans="1:23" x14ac:dyDescent="0.2">
      <c r="A29" s="6" t="s">
        <v>330</v>
      </c>
      <c r="B29" s="19">
        <v>7.3377756623829911E-4</v>
      </c>
      <c r="C29" s="16">
        <v>6.9250159275366336E-5</v>
      </c>
      <c r="D29" s="19">
        <v>5.3295434357790016E-4</v>
      </c>
      <c r="E29" s="16">
        <v>8.151343273443603E-5</v>
      </c>
      <c r="F29" s="19">
        <v>1.2282856641516054E-3</v>
      </c>
      <c r="G29" s="16">
        <v>9.4706753452491652E-5</v>
      </c>
      <c r="H29" s="22">
        <v>6.5262649533045743E-4</v>
      </c>
      <c r="I29" s="25">
        <v>0</v>
      </c>
      <c r="J29" s="22">
        <v>8.3322223703506193E-4</v>
      </c>
      <c r="K29" s="25">
        <v>2.6140110994932842E-4</v>
      </c>
      <c r="L29" s="22">
        <v>6.2095762732705412E-4</v>
      </c>
      <c r="M29" s="25">
        <v>4.7888260724975067E-4</v>
      </c>
      <c r="N29" s="19">
        <v>5.3369829610991921E-3</v>
      </c>
      <c r="O29" s="19">
        <v>6.635385563296839E-4</v>
      </c>
      <c r="P29" s="16">
        <v>4.5265839810659458E-5</v>
      </c>
      <c r="Q29" s="19">
        <v>2.5354292882115881E-4</v>
      </c>
      <c r="R29" s="16">
        <v>1.2853654008197773E-4</v>
      </c>
      <c r="S29" s="25">
        <v>1.8033452053559351E-4</v>
      </c>
      <c r="T29" s="22">
        <v>4.1068540234532957E-4</v>
      </c>
      <c r="U29" s="25">
        <v>1.846193022663611E-4</v>
      </c>
      <c r="V29" s="22">
        <v>5.5453680422960338E-4</v>
      </c>
      <c r="W29" s="25">
        <v>9.0665567690088609E-5</v>
      </c>
    </row>
    <row r="30" spans="1:23" x14ac:dyDescent="0.2">
      <c r="A30" s="6" t="s">
        <v>329</v>
      </c>
      <c r="B30" s="19">
        <v>0</v>
      </c>
      <c r="C30" s="16">
        <v>0</v>
      </c>
      <c r="D30" s="19">
        <v>4.2636347486232012E-5</v>
      </c>
      <c r="E30" s="16">
        <v>3.396393030601501E-5</v>
      </c>
      <c r="F30" s="19">
        <v>0</v>
      </c>
      <c r="G30" s="16">
        <v>0</v>
      </c>
      <c r="H30" s="22">
        <v>1.2399903411278691E-4</v>
      </c>
      <c r="I30" s="25">
        <v>3.2196579435400785E-5</v>
      </c>
      <c r="J30" s="22">
        <v>0</v>
      </c>
      <c r="K30" s="25">
        <v>4.691814793962305E-5</v>
      </c>
      <c r="L30" s="22">
        <v>1.4755428768167621E-4</v>
      </c>
      <c r="M30" s="25">
        <v>3.3255736614566016E-4</v>
      </c>
      <c r="N30" s="19">
        <v>6.5741111502901577E-5</v>
      </c>
      <c r="O30" s="19">
        <v>3.9496342638671656E-5</v>
      </c>
      <c r="P30" s="16">
        <v>1.2933097088759846E-5</v>
      </c>
      <c r="Q30" s="19">
        <v>5.3377458699191329E-5</v>
      </c>
      <c r="R30" s="16">
        <v>1.0711378340164812E-4</v>
      </c>
      <c r="S30" s="25">
        <v>0</v>
      </c>
      <c r="T30" s="22">
        <v>1.3268297614233725E-4</v>
      </c>
      <c r="U30" s="25">
        <v>1.7188693659281893E-4</v>
      </c>
      <c r="V30" s="22">
        <v>0</v>
      </c>
      <c r="W30" s="25">
        <v>1.8133113538017722E-4</v>
      </c>
    </row>
    <row r="31" spans="1:23" x14ac:dyDescent="0.2">
      <c r="A31" s="6" t="s">
        <v>328</v>
      </c>
      <c r="B31" s="19">
        <v>0</v>
      </c>
      <c r="C31" s="16">
        <v>0</v>
      </c>
      <c r="D31" s="19">
        <v>0</v>
      </c>
      <c r="E31" s="16">
        <v>0</v>
      </c>
      <c r="F31" s="19">
        <v>0</v>
      </c>
      <c r="G31" s="16">
        <v>0</v>
      </c>
      <c r="H31" s="22">
        <v>0</v>
      </c>
      <c r="I31" s="25">
        <v>1.931794766124047E-5</v>
      </c>
      <c r="J31" s="22">
        <v>0</v>
      </c>
      <c r="K31" s="25">
        <v>0</v>
      </c>
      <c r="L31" s="22">
        <v>0</v>
      </c>
      <c r="M31" s="25">
        <v>0</v>
      </c>
      <c r="N31" s="19">
        <v>0</v>
      </c>
      <c r="O31" s="19">
        <v>0</v>
      </c>
      <c r="P31" s="16">
        <v>0</v>
      </c>
      <c r="Q31" s="19">
        <v>0</v>
      </c>
      <c r="R31" s="16">
        <v>0</v>
      </c>
      <c r="S31" s="25">
        <v>0</v>
      </c>
      <c r="T31" s="22">
        <v>0</v>
      </c>
      <c r="U31" s="25">
        <v>0</v>
      </c>
      <c r="V31" s="22">
        <v>0</v>
      </c>
      <c r="W31" s="25">
        <v>0</v>
      </c>
    </row>
    <row r="32" spans="1:23" x14ac:dyDescent="0.2">
      <c r="A32" s="6" t="s">
        <v>327</v>
      </c>
      <c r="B32" s="19">
        <v>1.9831826114548629E-5</v>
      </c>
      <c r="C32" s="16">
        <v>0</v>
      </c>
      <c r="D32" s="19">
        <v>2.7713625866050809E-4</v>
      </c>
      <c r="E32" s="16">
        <v>2.0378358183609007E-5</v>
      </c>
      <c r="F32" s="19">
        <v>3.8145517520236195E-4</v>
      </c>
      <c r="G32" s="16">
        <v>0</v>
      </c>
      <c r="H32" s="22">
        <v>1.1094650420617776E-4</v>
      </c>
      <c r="I32" s="25">
        <v>0</v>
      </c>
      <c r="J32" s="22">
        <v>0</v>
      </c>
      <c r="K32" s="25">
        <v>0</v>
      </c>
      <c r="L32" s="22">
        <v>1.5370238300174607E-4</v>
      </c>
      <c r="M32" s="25">
        <v>1.2637179913535084E-4</v>
      </c>
      <c r="N32" s="19">
        <v>0</v>
      </c>
      <c r="O32" s="19">
        <v>3.1597074110937326E-5</v>
      </c>
      <c r="P32" s="16">
        <v>1.5519716506511813E-4</v>
      </c>
      <c r="Q32" s="19">
        <v>0</v>
      </c>
      <c r="R32" s="16">
        <v>0</v>
      </c>
      <c r="S32" s="25">
        <v>0</v>
      </c>
      <c r="T32" s="22">
        <v>1.2636473918317832E-5</v>
      </c>
      <c r="U32" s="25">
        <v>0</v>
      </c>
      <c r="V32" s="22">
        <v>6.3015545935182212E-5</v>
      </c>
      <c r="W32" s="25">
        <v>0</v>
      </c>
    </row>
    <row r="33" spans="1:23" x14ac:dyDescent="0.2">
      <c r="A33" s="6" t="s">
        <v>326</v>
      </c>
      <c r="B33" s="19">
        <v>7.6749167063303193E-3</v>
      </c>
      <c r="C33" s="16">
        <v>1.1107725547768756E-2</v>
      </c>
      <c r="D33" s="19">
        <v>9.330254041570436E-3</v>
      </c>
      <c r="E33" s="16">
        <v>7.682641035220596E-3</v>
      </c>
      <c r="F33" s="19">
        <v>8.9260510997352695E-3</v>
      </c>
      <c r="G33" s="16">
        <v>1.0942934876192446E-2</v>
      </c>
      <c r="H33" s="22">
        <v>2.3540237686569605E-2</v>
      </c>
      <c r="I33" s="25">
        <v>2.0316041623737891E-2</v>
      </c>
      <c r="J33" s="22">
        <v>2.4083455539261434E-2</v>
      </c>
      <c r="K33" s="25">
        <v>1.2641089573447013E-2</v>
      </c>
      <c r="L33" s="22">
        <v>1.5843641639819984E-2</v>
      </c>
      <c r="M33" s="25">
        <v>9.4645826405054829E-3</v>
      </c>
      <c r="N33" s="19">
        <v>6.598017009018485E-3</v>
      </c>
      <c r="O33" s="19">
        <v>8.902475630756591E-3</v>
      </c>
      <c r="P33" s="16">
        <v>7.3330660493268326E-3</v>
      </c>
      <c r="Q33" s="19">
        <v>8.7672475913421737E-3</v>
      </c>
      <c r="R33" s="16">
        <v>1.0411459746640195E-2</v>
      </c>
      <c r="S33" s="25">
        <v>1.7144660488062506E-2</v>
      </c>
      <c r="T33" s="22">
        <v>9.8122219975737938E-3</v>
      </c>
      <c r="U33" s="25">
        <v>1.4629488158899921E-2</v>
      </c>
      <c r="V33" s="22">
        <v>1.9358375711287974E-2</v>
      </c>
      <c r="W33" s="25">
        <v>1.6995672779723883E-2</v>
      </c>
    </row>
    <row r="34" spans="1:23" x14ac:dyDescent="0.2">
      <c r="A34" s="6" t="s">
        <v>325</v>
      </c>
      <c r="B34" s="19">
        <v>5.619017399122111E-4</v>
      </c>
      <c r="C34" s="16">
        <v>4.8475111492756438E-4</v>
      </c>
      <c r="D34" s="19">
        <v>1.1724995558713802E-3</v>
      </c>
      <c r="E34" s="16">
        <v>7.0644975036511233E-4</v>
      </c>
      <c r="F34" s="19">
        <v>2.9066884350419982E-3</v>
      </c>
      <c r="G34" s="16">
        <v>1.4808692358025967E-3</v>
      </c>
      <c r="H34" s="22">
        <v>2.4277705626293018E-3</v>
      </c>
      <c r="I34" s="25">
        <v>1.0367298578199053E-3</v>
      </c>
      <c r="J34" s="22">
        <v>4.6060525263298228E-3</v>
      </c>
      <c r="K34" s="25">
        <v>1.1327381431137564E-3</v>
      </c>
      <c r="L34" s="22">
        <v>4.4266286304502868E-3</v>
      </c>
      <c r="M34" s="25">
        <v>2.0419022281343534E-3</v>
      </c>
      <c r="N34" s="19">
        <v>2.6953855716189646E-3</v>
      </c>
      <c r="O34" s="19">
        <v>4.4235903755312258E-4</v>
      </c>
      <c r="P34" s="16">
        <v>1.5907709419174609E-3</v>
      </c>
      <c r="Q34" s="19">
        <v>2.0817208892684618E-3</v>
      </c>
      <c r="R34" s="16">
        <v>4.1131692826232875E-3</v>
      </c>
      <c r="S34" s="25">
        <v>1.2043769764341426E-3</v>
      </c>
      <c r="T34" s="22">
        <v>2.7484330772341295E-3</v>
      </c>
      <c r="U34" s="25">
        <v>1.3305322128851541E-3</v>
      </c>
      <c r="V34" s="22">
        <v>2.3378767541952601E-3</v>
      </c>
      <c r="W34" s="25">
        <v>2.0523387595301878E-3</v>
      </c>
    </row>
    <row r="35" spans="1:23" x14ac:dyDescent="0.2">
      <c r="A35" s="6" t="s">
        <v>324</v>
      </c>
      <c r="B35" s="19">
        <v>1.3221217409699086E-5</v>
      </c>
      <c r="C35" s="16">
        <v>0</v>
      </c>
      <c r="D35" s="19">
        <v>2.1318173743116006E-5</v>
      </c>
      <c r="E35" s="16">
        <v>0</v>
      </c>
      <c r="F35" s="19">
        <v>0</v>
      </c>
      <c r="G35" s="16">
        <v>0</v>
      </c>
      <c r="H35" s="22">
        <v>0</v>
      </c>
      <c r="I35" s="25">
        <v>0</v>
      </c>
      <c r="J35" s="22">
        <v>0</v>
      </c>
      <c r="K35" s="25">
        <v>0</v>
      </c>
      <c r="L35" s="22">
        <v>0</v>
      </c>
      <c r="M35" s="25">
        <v>0</v>
      </c>
      <c r="N35" s="19">
        <v>0</v>
      </c>
      <c r="O35" s="19">
        <v>0</v>
      </c>
      <c r="P35" s="16">
        <v>0</v>
      </c>
      <c r="Q35" s="19">
        <v>0</v>
      </c>
      <c r="R35" s="16">
        <v>0</v>
      </c>
      <c r="S35" s="25">
        <v>0</v>
      </c>
      <c r="T35" s="22">
        <v>0</v>
      </c>
      <c r="U35" s="25">
        <v>0</v>
      </c>
      <c r="V35" s="22">
        <v>0</v>
      </c>
      <c r="W35" s="25">
        <v>0</v>
      </c>
    </row>
    <row r="36" spans="1:23" x14ac:dyDescent="0.2">
      <c r="A36" s="6" t="s">
        <v>323</v>
      </c>
      <c r="B36" s="19">
        <v>2.8101697604315426E-2</v>
      </c>
      <c r="C36" s="16">
        <v>3.6778759591147028E-2</v>
      </c>
      <c r="D36" s="19">
        <v>2.1211582874400416E-2</v>
      </c>
      <c r="E36" s="16">
        <v>4.3059470841965847E-2</v>
      </c>
      <c r="F36" s="19">
        <v>3.6795166200019838E-2</v>
      </c>
      <c r="G36" s="16">
        <v>4.5020146709370816E-2</v>
      </c>
      <c r="H36" s="22">
        <v>1.6028506725316031E-2</v>
      </c>
      <c r="I36" s="25">
        <v>3.5912064702245984E-2</v>
      </c>
      <c r="J36" s="22">
        <v>1.5657912278362895E-2</v>
      </c>
      <c r="K36" s="25">
        <v>2.3539505080565168E-2</v>
      </c>
      <c r="L36" s="22">
        <v>1.9372648353540068E-2</v>
      </c>
      <c r="M36" s="25">
        <v>1.8636514798802788E-2</v>
      </c>
      <c r="N36" s="19">
        <v>4.883369291729172E-2</v>
      </c>
      <c r="O36" s="19">
        <v>5.8952241022481276E-2</v>
      </c>
      <c r="P36" s="16">
        <v>4.561503343205605E-2</v>
      </c>
      <c r="Q36" s="19">
        <v>3.4948891083295505E-2</v>
      </c>
      <c r="R36" s="16">
        <v>3.7861151973035877E-2</v>
      </c>
      <c r="S36" s="25">
        <v>1.6217225811022307E-2</v>
      </c>
      <c r="T36" s="22">
        <v>3.1452183582692993E-2</v>
      </c>
      <c r="U36" s="25">
        <v>3.6834733893557431E-2</v>
      </c>
      <c r="V36" s="22">
        <v>1.4707828421271524E-2</v>
      </c>
      <c r="W36" s="25">
        <v>1.8841953430867513E-2</v>
      </c>
    </row>
    <row r="37" spans="1:23" x14ac:dyDescent="0.2">
      <c r="A37" s="6" t="s">
        <v>322</v>
      </c>
      <c r="B37" s="19">
        <v>1.7385900893754291E-3</v>
      </c>
      <c r="C37" s="16">
        <v>2.7700063710146532E-5</v>
      </c>
      <c r="D37" s="19">
        <v>3.8585894475039982E-3</v>
      </c>
      <c r="E37" s="16">
        <v>6.7927860612030017E-4</v>
      </c>
      <c r="F37" s="19">
        <v>2.6015242948801086E-3</v>
      </c>
      <c r="G37" s="16">
        <v>2.4795949994834178E-3</v>
      </c>
      <c r="H37" s="22">
        <v>3.5437618696443842E-3</v>
      </c>
      <c r="I37" s="25">
        <v>9.0150422419122192E-5</v>
      </c>
      <c r="J37" s="22">
        <v>5.8658845487268377E-4</v>
      </c>
      <c r="K37" s="25">
        <v>5.3620740502426337E-5</v>
      </c>
      <c r="L37" s="22">
        <v>8.4228905884956842E-4</v>
      </c>
      <c r="M37" s="25">
        <v>6.784170269371468E-4</v>
      </c>
      <c r="N37" s="19">
        <v>3.0181146644513903E-3</v>
      </c>
      <c r="O37" s="19">
        <v>2.8674344755675631E-3</v>
      </c>
      <c r="P37" s="16">
        <v>6.1432211171609248E-4</v>
      </c>
      <c r="Q37" s="19">
        <v>1.7080786783741221E-3</v>
      </c>
      <c r="R37" s="16">
        <v>5.6413259258201337E-4</v>
      </c>
      <c r="S37" s="25">
        <v>3.8643111543341474E-5</v>
      </c>
      <c r="T37" s="22">
        <v>1.1815103113627173E-3</v>
      </c>
      <c r="U37" s="25">
        <v>2.9921059332824033E-4</v>
      </c>
      <c r="V37" s="22">
        <v>8.0659898797033223E-4</v>
      </c>
      <c r="W37" s="25">
        <v>1.1539254069647641E-4</v>
      </c>
    </row>
    <row r="38" spans="1:23" x14ac:dyDescent="0.2">
      <c r="A38" s="6" t="s">
        <v>321</v>
      </c>
      <c r="B38" s="19">
        <v>7.4038817494314875E-4</v>
      </c>
      <c r="C38" s="16">
        <v>1.5927536633334258E-4</v>
      </c>
      <c r="D38" s="19">
        <v>6.6796944395096825E-4</v>
      </c>
      <c r="E38" s="16">
        <v>1.7661243759127806E-4</v>
      </c>
      <c r="F38" s="19">
        <v>9.154924204856687E-4</v>
      </c>
      <c r="G38" s="16">
        <v>4.9936288184041053E-4</v>
      </c>
      <c r="H38" s="22">
        <v>3.3936577757183776E-4</v>
      </c>
      <c r="I38" s="25">
        <v>4.5075211209561096E-5</v>
      </c>
      <c r="J38" s="22">
        <v>1.3998133582189041E-4</v>
      </c>
      <c r="K38" s="25">
        <v>0</v>
      </c>
      <c r="L38" s="22">
        <v>2.5822000344293342E-4</v>
      </c>
      <c r="M38" s="25">
        <v>3.7911539740605253E-4</v>
      </c>
      <c r="N38" s="19">
        <v>9.6818727849727778E-4</v>
      </c>
      <c r="O38" s="19">
        <v>1.0664012512441347E-3</v>
      </c>
      <c r="P38" s="16">
        <v>1.8106335924263783E-4</v>
      </c>
      <c r="Q38" s="19">
        <v>7.4728442178867861E-4</v>
      </c>
      <c r="R38" s="16">
        <v>4.2131421471314928E-4</v>
      </c>
      <c r="S38" s="25">
        <v>0</v>
      </c>
      <c r="T38" s="22">
        <v>5.8127780024262027E-4</v>
      </c>
      <c r="U38" s="25">
        <v>1.9735166793990322E-4</v>
      </c>
      <c r="V38" s="22">
        <v>0</v>
      </c>
      <c r="W38" s="25">
        <v>0</v>
      </c>
    </row>
    <row r="39" spans="1:23" x14ac:dyDescent="0.2">
      <c r="A39" s="6" t="s">
        <v>320</v>
      </c>
      <c r="B39" s="19">
        <v>0</v>
      </c>
      <c r="C39" s="16">
        <v>0</v>
      </c>
      <c r="D39" s="19">
        <v>4.9742405400604016E-5</v>
      </c>
      <c r="E39" s="16">
        <v>0</v>
      </c>
      <c r="F39" s="19">
        <v>0</v>
      </c>
      <c r="G39" s="16">
        <v>0</v>
      </c>
      <c r="H39" s="22">
        <v>0</v>
      </c>
      <c r="I39" s="25">
        <v>0</v>
      </c>
      <c r="J39" s="22">
        <v>0</v>
      </c>
      <c r="K39" s="25">
        <v>0</v>
      </c>
      <c r="L39" s="22">
        <v>0</v>
      </c>
      <c r="M39" s="25">
        <v>0</v>
      </c>
      <c r="N39" s="19">
        <v>0</v>
      </c>
      <c r="O39" s="19">
        <v>0</v>
      </c>
      <c r="P39" s="16">
        <v>0</v>
      </c>
      <c r="Q39" s="19">
        <v>0</v>
      </c>
      <c r="R39" s="16">
        <v>0</v>
      </c>
      <c r="S39" s="25">
        <v>0</v>
      </c>
      <c r="T39" s="22">
        <v>0</v>
      </c>
      <c r="U39" s="25">
        <v>0</v>
      </c>
      <c r="V39" s="22">
        <v>0</v>
      </c>
      <c r="W39" s="25">
        <v>0</v>
      </c>
    </row>
    <row r="40" spans="1:23" x14ac:dyDescent="0.2">
      <c r="A40" s="6" t="s">
        <v>319</v>
      </c>
      <c r="B40" s="19">
        <v>1.3155111322650601E-2</v>
      </c>
      <c r="C40" s="16">
        <v>4.7159358466524479E-3</v>
      </c>
      <c r="D40" s="19">
        <v>1.772961449635814E-2</v>
      </c>
      <c r="E40" s="16">
        <v>8.8577930238087181E-3</v>
      </c>
      <c r="F40" s="19">
        <v>1.325175278653006E-2</v>
      </c>
      <c r="G40" s="16">
        <v>1.5419981403037512E-2</v>
      </c>
      <c r="H40" s="22">
        <v>2.0192263765524368E-2</v>
      </c>
      <c r="I40" s="25">
        <v>1.7128580259633212E-3</v>
      </c>
      <c r="J40" s="22">
        <v>1.813091587788295E-3</v>
      </c>
      <c r="K40" s="25">
        <v>4.8928925708464032E-4</v>
      </c>
      <c r="L40" s="22">
        <v>7.273196763642624E-3</v>
      </c>
      <c r="M40" s="25">
        <v>5.7998004655803112E-3</v>
      </c>
      <c r="N40" s="19">
        <v>1.0375142688094285E-2</v>
      </c>
      <c r="O40" s="19">
        <v>2.4969587816168211E-2</v>
      </c>
      <c r="P40" s="16">
        <v>1.2331708074132516E-2</v>
      </c>
      <c r="Q40" s="19">
        <v>1.4825589153700396E-2</v>
      </c>
      <c r="R40" s="16">
        <v>1.456747454262414E-2</v>
      </c>
      <c r="S40" s="25">
        <v>1.3782709783791793E-3</v>
      </c>
      <c r="T40" s="22">
        <v>1.1461281843914269E-2</v>
      </c>
      <c r="U40" s="25">
        <v>3.9788642729819213E-3</v>
      </c>
      <c r="V40" s="22">
        <v>5.4193369504256707E-3</v>
      </c>
      <c r="W40" s="25">
        <v>1.2281063259839276E-3</v>
      </c>
    </row>
    <row r="41" spans="1:23" x14ac:dyDescent="0.2">
      <c r="A41" s="6" t="s">
        <v>318</v>
      </c>
      <c r="B41" s="19">
        <v>0</v>
      </c>
      <c r="C41" s="16">
        <v>0</v>
      </c>
      <c r="D41" s="19">
        <v>0</v>
      </c>
      <c r="E41" s="16">
        <v>0</v>
      </c>
      <c r="F41" s="19">
        <v>0</v>
      </c>
      <c r="G41" s="16">
        <v>0</v>
      </c>
      <c r="H41" s="22">
        <v>0</v>
      </c>
      <c r="I41" s="25">
        <v>0</v>
      </c>
      <c r="J41" s="22">
        <v>3.9994667377682974E-5</v>
      </c>
      <c r="K41" s="25">
        <v>0</v>
      </c>
      <c r="L41" s="22">
        <v>0</v>
      </c>
      <c r="M41" s="25">
        <v>0</v>
      </c>
      <c r="N41" s="19">
        <v>0</v>
      </c>
      <c r="O41" s="19">
        <v>0</v>
      </c>
      <c r="P41" s="16">
        <v>0</v>
      </c>
      <c r="Q41" s="19">
        <v>0</v>
      </c>
      <c r="R41" s="16">
        <v>0</v>
      </c>
      <c r="S41" s="25">
        <v>2.5762074362227647E-5</v>
      </c>
      <c r="T41" s="22">
        <v>0</v>
      </c>
      <c r="U41" s="25">
        <v>0</v>
      </c>
      <c r="V41" s="22">
        <v>0</v>
      </c>
      <c r="W41" s="25">
        <v>0</v>
      </c>
    </row>
    <row r="42" spans="1:23" x14ac:dyDescent="0.2">
      <c r="A42" s="6" t="s">
        <v>317</v>
      </c>
      <c r="B42" s="19">
        <v>4.2968956581522028E-4</v>
      </c>
      <c r="C42" s="16">
        <v>1.3850031855073267E-4</v>
      </c>
      <c r="D42" s="19">
        <v>1.2648783087582164E-3</v>
      </c>
      <c r="E42" s="16">
        <v>5.4342288489624017E-5</v>
      </c>
      <c r="F42" s="19">
        <v>2.5176041563355889E-4</v>
      </c>
      <c r="G42" s="16">
        <v>8.1792196163515518E-4</v>
      </c>
      <c r="H42" s="22">
        <v>2.5844009215086118E-3</v>
      </c>
      <c r="I42" s="25">
        <v>4.1211621677312996E-4</v>
      </c>
      <c r="J42" s="22">
        <v>8.3322223703506204E-4</v>
      </c>
      <c r="K42" s="25">
        <v>1.032199254671707E-3</v>
      </c>
      <c r="L42" s="22">
        <v>1.2480633499741781E-3</v>
      </c>
      <c r="M42" s="25">
        <v>1.2171599600931159E-3</v>
      </c>
      <c r="N42" s="19">
        <v>4.9604656861280277E-4</v>
      </c>
      <c r="O42" s="19">
        <v>1.571954437019132E-3</v>
      </c>
      <c r="P42" s="16">
        <v>1.9399645633139771E-4</v>
      </c>
      <c r="Q42" s="19">
        <v>5.0708585764231763E-4</v>
      </c>
      <c r="R42" s="16">
        <v>1.3567745897542097E-4</v>
      </c>
      <c r="S42" s="25">
        <v>5.1524148724455291E-4</v>
      </c>
      <c r="T42" s="22">
        <v>5.3073190456934889E-4</v>
      </c>
      <c r="U42" s="25">
        <v>1.0185892538833717E-3</v>
      </c>
      <c r="V42" s="22">
        <v>9.5153474362125135E-4</v>
      </c>
      <c r="W42" s="25">
        <v>7.7477848753348456E-4</v>
      </c>
    </row>
    <row r="43" spans="1:23" x14ac:dyDescent="0.2">
      <c r="A43" s="6" t="s">
        <v>316</v>
      </c>
      <c r="B43" s="19">
        <v>0</v>
      </c>
      <c r="C43" s="16">
        <v>0</v>
      </c>
      <c r="D43" s="19">
        <v>0</v>
      </c>
      <c r="E43" s="16">
        <v>0</v>
      </c>
      <c r="F43" s="19">
        <v>0</v>
      </c>
      <c r="G43" s="16">
        <v>0</v>
      </c>
      <c r="H43" s="22">
        <v>0</v>
      </c>
      <c r="I43" s="25">
        <v>1.2878631774160313E-5</v>
      </c>
      <c r="J43" s="22">
        <v>0</v>
      </c>
      <c r="K43" s="25">
        <v>0</v>
      </c>
      <c r="L43" s="22">
        <v>0</v>
      </c>
      <c r="M43" s="25">
        <v>0</v>
      </c>
      <c r="N43" s="19">
        <v>0</v>
      </c>
      <c r="O43" s="19">
        <v>1.5798537055468663E-5</v>
      </c>
      <c r="P43" s="16">
        <v>0</v>
      </c>
      <c r="Q43" s="19">
        <v>0</v>
      </c>
      <c r="R43" s="16">
        <v>0</v>
      </c>
      <c r="S43" s="25">
        <v>1.9321555771670734E-5</v>
      </c>
      <c r="T43" s="22">
        <v>0</v>
      </c>
      <c r="U43" s="25">
        <v>0</v>
      </c>
      <c r="V43" s="22">
        <v>5.0412436748145764E-5</v>
      </c>
      <c r="W43" s="25">
        <v>0</v>
      </c>
    </row>
    <row r="44" spans="1:23" x14ac:dyDescent="0.2">
      <c r="A44" s="6" t="s">
        <v>315</v>
      </c>
      <c r="B44" s="19">
        <v>6.2800782696070649E-4</v>
      </c>
      <c r="C44" s="16">
        <v>2.5899559568987002E-3</v>
      </c>
      <c r="D44" s="19">
        <v>4.1428317640788779E-3</v>
      </c>
      <c r="E44" s="16">
        <v>5.5700845701864626E-3</v>
      </c>
      <c r="F44" s="19">
        <v>2.6854444334246277E-3</v>
      </c>
      <c r="G44" s="16">
        <v>3.2716878465406203E-3</v>
      </c>
      <c r="H44" s="22">
        <v>1.4879884093534431E-3</v>
      </c>
      <c r="I44" s="25">
        <v>6.310529569338554E-4</v>
      </c>
      <c r="J44" s="22">
        <v>8.9988001599786691E-4</v>
      </c>
      <c r="K44" s="25">
        <v>4.8258666452183704E-4</v>
      </c>
      <c r="L44" s="22">
        <v>1.0328800137717337E-3</v>
      </c>
      <c r="M44" s="25">
        <v>7.4492850016627868E-4</v>
      </c>
      <c r="N44" s="19">
        <v>3.4603730509254554E-3</v>
      </c>
      <c r="O44" s="19">
        <v>5.5531857749972352E-3</v>
      </c>
      <c r="P44" s="16">
        <v>5.7164289132318512E-3</v>
      </c>
      <c r="Q44" s="19">
        <v>3.2960580746750658E-3</v>
      </c>
      <c r="R44" s="16">
        <v>4.1203102015167307E-3</v>
      </c>
      <c r="S44" s="25">
        <v>5.2812252442566675E-4</v>
      </c>
      <c r="T44" s="22">
        <v>1.0235543873837445E-3</v>
      </c>
      <c r="U44" s="25">
        <v>7.4484339190221546E-4</v>
      </c>
      <c r="V44" s="22">
        <v>1.3296280192323445E-3</v>
      </c>
      <c r="W44" s="25">
        <v>2.8848135174119102E-4</v>
      </c>
    </row>
    <row r="45" spans="1:23" x14ac:dyDescent="0.2">
      <c r="A45" s="6" t="s">
        <v>314</v>
      </c>
      <c r="B45" s="19">
        <v>2.9086678301337986E-4</v>
      </c>
      <c r="C45" s="16">
        <v>2.4237555746378216E-4</v>
      </c>
      <c r="D45" s="19">
        <v>6.3954521229348018E-5</v>
      </c>
      <c r="E45" s="16">
        <v>1.3585572122406004E-4</v>
      </c>
      <c r="F45" s="19">
        <v>3.9671338221045646E-4</v>
      </c>
      <c r="G45" s="16">
        <v>2.6690085063884011E-4</v>
      </c>
      <c r="H45" s="22">
        <v>1.9578794859913723E-5</v>
      </c>
      <c r="I45" s="25">
        <v>4.5075211209561096E-5</v>
      </c>
      <c r="J45" s="22">
        <v>6.6657778962804954E-5</v>
      </c>
      <c r="K45" s="25">
        <v>8.7133703316442799E-5</v>
      </c>
      <c r="L45" s="22">
        <v>1.5370238300174607E-4</v>
      </c>
      <c r="M45" s="25">
        <v>3.3255736614566014E-5</v>
      </c>
      <c r="N45" s="19">
        <v>5.0799949797696671E-4</v>
      </c>
      <c r="O45" s="19">
        <v>4.7395611166405993E-5</v>
      </c>
      <c r="P45" s="16">
        <v>3.6859326702965567E-4</v>
      </c>
      <c r="Q45" s="19">
        <v>3.0692038752035014E-4</v>
      </c>
      <c r="R45" s="16">
        <v>7.1409188934432066E-4</v>
      </c>
      <c r="S45" s="25">
        <v>8.3726741677239838E-5</v>
      </c>
      <c r="T45" s="22">
        <v>1.1878285483218763E-3</v>
      </c>
      <c r="U45" s="25">
        <v>1.0185892538833715E-4</v>
      </c>
      <c r="V45" s="22">
        <v>3.2768083886294748E-4</v>
      </c>
      <c r="W45" s="25">
        <v>4.9453946012775605E-5</v>
      </c>
    </row>
    <row r="46" spans="1:23" x14ac:dyDescent="0.2">
      <c r="A46" s="6" t="s">
        <v>313</v>
      </c>
      <c r="B46" s="19">
        <v>3.9002591358612299E-4</v>
      </c>
      <c r="C46" s="16">
        <v>0</v>
      </c>
      <c r="D46" s="19">
        <v>0</v>
      </c>
      <c r="E46" s="16">
        <v>0</v>
      </c>
      <c r="F46" s="19">
        <v>3.0516414016188958E-5</v>
      </c>
      <c r="G46" s="16">
        <v>8.0070255191652033E-4</v>
      </c>
      <c r="H46" s="22">
        <v>0</v>
      </c>
      <c r="I46" s="25">
        <v>0</v>
      </c>
      <c r="J46" s="22">
        <v>0</v>
      </c>
      <c r="K46" s="25">
        <v>0</v>
      </c>
      <c r="L46" s="22">
        <v>0</v>
      </c>
      <c r="M46" s="25">
        <v>0</v>
      </c>
      <c r="N46" s="19">
        <v>0</v>
      </c>
      <c r="O46" s="19">
        <v>0</v>
      </c>
      <c r="P46" s="16">
        <v>0</v>
      </c>
      <c r="Q46" s="19">
        <v>0</v>
      </c>
      <c r="R46" s="16">
        <v>0</v>
      </c>
      <c r="S46" s="25">
        <v>0</v>
      </c>
      <c r="T46" s="22">
        <v>0</v>
      </c>
      <c r="U46" s="25">
        <v>0</v>
      </c>
      <c r="V46" s="22">
        <v>0</v>
      </c>
      <c r="W46" s="25">
        <v>0</v>
      </c>
    </row>
    <row r="47" spans="1:23" x14ac:dyDescent="0.2">
      <c r="A47" s="6" t="s">
        <v>312</v>
      </c>
      <c r="B47" s="19">
        <v>0</v>
      </c>
      <c r="C47" s="16">
        <v>0</v>
      </c>
      <c r="D47" s="19">
        <v>4.2636347486232012E-5</v>
      </c>
      <c r="E47" s="16">
        <v>0</v>
      </c>
      <c r="F47" s="19">
        <v>2.0598579460927546E-4</v>
      </c>
      <c r="G47" s="16">
        <v>1.343113958053518E-3</v>
      </c>
      <c r="H47" s="22">
        <v>2.6105059813218297E-5</v>
      </c>
      <c r="I47" s="25">
        <v>0</v>
      </c>
      <c r="J47" s="22">
        <v>0</v>
      </c>
      <c r="K47" s="25">
        <v>0</v>
      </c>
      <c r="L47" s="22">
        <v>2.459238128027937E-5</v>
      </c>
      <c r="M47" s="25">
        <v>0</v>
      </c>
      <c r="N47" s="19">
        <v>0</v>
      </c>
      <c r="O47" s="19">
        <v>0</v>
      </c>
      <c r="P47" s="16">
        <v>3.2332742721899616E-5</v>
      </c>
      <c r="Q47" s="19">
        <v>2.6688729349595664E-5</v>
      </c>
      <c r="R47" s="16">
        <v>0</v>
      </c>
      <c r="S47" s="25">
        <v>0</v>
      </c>
      <c r="T47" s="22">
        <v>1.4531945006065507E-4</v>
      </c>
      <c r="U47" s="25">
        <v>0</v>
      </c>
      <c r="V47" s="22">
        <v>0</v>
      </c>
      <c r="W47" s="25">
        <v>0</v>
      </c>
    </row>
    <row r="48" spans="1:23" x14ac:dyDescent="0.2">
      <c r="A48" s="6" t="s">
        <v>311</v>
      </c>
      <c r="B48" s="19">
        <v>0</v>
      </c>
      <c r="C48" s="16">
        <v>0</v>
      </c>
      <c r="D48" s="19">
        <v>0</v>
      </c>
      <c r="E48" s="16">
        <v>0</v>
      </c>
      <c r="F48" s="19">
        <v>0</v>
      </c>
      <c r="G48" s="16">
        <v>1.7219409718634846E-5</v>
      </c>
      <c r="H48" s="22">
        <v>1.1094650420617776E-4</v>
      </c>
      <c r="I48" s="25">
        <v>1.931794766124047E-5</v>
      </c>
      <c r="J48" s="22">
        <v>9.332089054792694E-5</v>
      </c>
      <c r="K48" s="25">
        <v>2.0107777688409878E-5</v>
      </c>
      <c r="L48" s="22">
        <v>0</v>
      </c>
      <c r="M48" s="25">
        <v>4.6558031260392418E-5</v>
      </c>
      <c r="N48" s="19">
        <v>0</v>
      </c>
      <c r="O48" s="19">
        <v>3.475678152203106E-4</v>
      </c>
      <c r="P48" s="16">
        <v>0</v>
      </c>
      <c r="Q48" s="19">
        <v>0</v>
      </c>
      <c r="R48" s="16">
        <v>0</v>
      </c>
      <c r="S48" s="25">
        <v>0</v>
      </c>
      <c r="T48" s="22">
        <v>6.3182369591589164E-5</v>
      </c>
      <c r="U48" s="25">
        <v>5.0929462694168576E-5</v>
      </c>
      <c r="V48" s="22">
        <v>3.7809327561109323E-5</v>
      </c>
      <c r="W48" s="25">
        <v>0</v>
      </c>
    </row>
    <row r="49" spans="1:23" x14ac:dyDescent="0.2">
      <c r="A49" s="6" t="s">
        <v>310</v>
      </c>
      <c r="B49" s="19">
        <v>0</v>
      </c>
      <c r="C49" s="16">
        <v>0</v>
      </c>
      <c r="D49" s="19">
        <v>0</v>
      </c>
      <c r="E49" s="16">
        <v>1.3585572122406004E-5</v>
      </c>
      <c r="F49" s="19">
        <v>0</v>
      </c>
      <c r="G49" s="16">
        <v>1.0331645831180907E-4</v>
      </c>
      <c r="H49" s="22">
        <v>3.9157589719827446E-5</v>
      </c>
      <c r="I49" s="25">
        <v>9.0150422419122192E-5</v>
      </c>
      <c r="J49" s="22">
        <v>3.9994667377682974E-5</v>
      </c>
      <c r="K49" s="25">
        <v>3.3512962814016462E-5</v>
      </c>
      <c r="L49" s="22">
        <v>0</v>
      </c>
      <c r="M49" s="25">
        <v>1.2637179913535084E-4</v>
      </c>
      <c r="N49" s="19">
        <v>3.7651727497116356E-4</v>
      </c>
      <c r="O49" s="19">
        <v>1.5798537055468663E-5</v>
      </c>
      <c r="P49" s="16">
        <v>1.2933097088759846E-5</v>
      </c>
      <c r="Q49" s="19">
        <v>0</v>
      </c>
      <c r="R49" s="16">
        <v>3.5704594467216042E-5</v>
      </c>
      <c r="S49" s="25">
        <v>9.6607778858353671E-5</v>
      </c>
      <c r="T49" s="22">
        <v>1.6427416093813181E-4</v>
      </c>
      <c r="U49" s="25">
        <v>1.4005602240896358E-4</v>
      </c>
      <c r="V49" s="22">
        <v>9.4523318902773305E-5</v>
      </c>
      <c r="W49" s="25">
        <v>0</v>
      </c>
    </row>
    <row r="50" spans="1:23" x14ac:dyDescent="0.2">
      <c r="A50" s="6" t="s">
        <v>309</v>
      </c>
      <c r="B50" s="19">
        <v>0</v>
      </c>
      <c r="C50" s="16">
        <v>0</v>
      </c>
      <c r="D50" s="19">
        <v>0</v>
      </c>
      <c r="E50" s="16">
        <v>0</v>
      </c>
      <c r="F50" s="19">
        <v>0</v>
      </c>
      <c r="G50" s="16">
        <v>0</v>
      </c>
      <c r="H50" s="22">
        <v>8.4841444392959466E-5</v>
      </c>
      <c r="I50" s="25">
        <v>0</v>
      </c>
      <c r="J50" s="22">
        <v>0</v>
      </c>
      <c r="K50" s="25">
        <v>0</v>
      </c>
      <c r="L50" s="22">
        <v>0</v>
      </c>
      <c r="M50" s="25">
        <v>0</v>
      </c>
      <c r="N50" s="19">
        <v>0</v>
      </c>
      <c r="O50" s="19">
        <v>0</v>
      </c>
      <c r="P50" s="16">
        <v>0</v>
      </c>
      <c r="Q50" s="19">
        <v>2.6688729349595664E-5</v>
      </c>
      <c r="R50" s="16">
        <v>0</v>
      </c>
      <c r="S50" s="25">
        <v>0</v>
      </c>
      <c r="T50" s="22">
        <v>0</v>
      </c>
      <c r="U50" s="25">
        <v>0</v>
      </c>
      <c r="V50" s="22">
        <v>0</v>
      </c>
      <c r="W50" s="25">
        <v>0</v>
      </c>
    </row>
    <row r="51" spans="1:23" x14ac:dyDescent="0.2">
      <c r="A51" s="6" t="s">
        <v>308</v>
      </c>
      <c r="B51" s="19">
        <v>1.9170765244063673E-4</v>
      </c>
      <c r="C51" s="16">
        <v>2.5622558931885544E-4</v>
      </c>
      <c r="D51" s="19">
        <v>4.1215135903357612E-4</v>
      </c>
      <c r="E51" s="16">
        <v>4.1435994973338313E-4</v>
      </c>
      <c r="F51" s="19">
        <v>1.5792244253377786E-3</v>
      </c>
      <c r="G51" s="16">
        <v>8.6097048593174229E-5</v>
      </c>
      <c r="H51" s="22">
        <v>5.2862746121767055E-4</v>
      </c>
      <c r="I51" s="25">
        <v>6.1173500927261487E-4</v>
      </c>
      <c r="J51" s="22">
        <v>2.3996800426609783E-4</v>
      </c>
      <c r="K51" s="25">
        <v>8.7133703316442799E-5</v>
      </c>
      <c r="L51" s="22">
        <v>6.639942945675431E-4</v>
      </c>
      <c r="M51" s="25">
        <v>1.2038576654472895E-3</v>
      </c>
      <c r="N51" s="19">
        <v>5.0799949797696671E-4</v>
      </c>
      <c r="O51" s="19">
        <v>7.5832977866249578E-4</v>
      </c>
      <c r="P51" s="16">
        <v>5.7552282044981309E-4</v>
      </c>
      <c r="Q51" s="19">
        <v>8.0066188048786993E-5</v>
      </c>
      <c r="R51" s="16">
        <v>1.6424113454919381E-4</v>
      </c>
      <c r="S51" s="25">
        <v>1.5457244617336587E-4</v>
      </c>
      <c r="T51" s="22">
        <v>6.3182369591589164E-5</v>
      </c>
      <c r="U51" s="25">
        <v>1.8461930226636107E-4</v>
      </c>
      <c r="V51" s="22">
        <v>5.1042592207497595E-4</v>
      </c>
      <c r="W51" s="25">
        <v>0</v>
      </c>
    </row>
    <row r="52" spans="1:23" x14ac:dyDescent="0.2">
      <c r="A52" s="6" t="s">
        <v>307</v>
      </c>
      <c r="B52" s="19">
        <v>0</v>
      </c>
      <c r="C52" s="16">
        <v>0</v>
      </c>
      <c r="D52" s="19">
        <v>1.7054538994492805E-4</v>
      </c>
      <c r="E52" s="16">
        <v>0</v>
      </c>
      <c r="F52" s="19">
        <v>0</v>
      </c>
      <c r="G52" s="16">
        <v>0</v>
      </c>
      <c r="H52" s="22">
        <v>0</v>
      </c>
      <c r="I52" s="25">
        <v>0</v>
      </c>
      <c r="J52" s="22">
        <v>0</v>
      </c>
      <c r="K52" s="25">
        <v>0</v>
      </c>
      <c r="L52" s="22">
        <v>4.918476256055874E-5</v>
      </c>
      <c r="M52" s="25">
        <v>0</v>
      </c>
      <c r="N52" s="19">
        <v>0</v>
      </c>
      <c r="O52" s="19">
        <v>0</v>
      </c>
      <c r="P52" s="16">
        <v>0</v>
      </c>
      <c r="Q52" s="19">
        <v>0</v>
      </c>
      <c r="R52" s="16">
        <v>0</v>
      </c>
      <c r="S52" s="25">
        <v>0</v>
      </c>
      <c r="T52" s="22">
        <v>3.1591184795794582E-5</v>
      </c>
      <c r="U52" s="25">
        <v>0</v>
      </c>
      <c r="V52" s="22">
        <v>0</v>
      </c>
      <c r="W52" s="25">
        <v>0</v>
      </c>
    </row>
    <row r="53" spans="1:23" x14ac:dyDescent="0.2">
      <c r="A53" s="6" t="s">
        <v>306</v>
      </c>
      <c r="B53" s="19">
        <v>1.2553545930509289E-2</v>
      </c>
      <c r="C53" s="16">
        <v>4.6743857510872285E-3</v>
      </c>
      <c r="D53" s="19">
        <v>8.3496180493870999E-3</v>
      </c>
      <c r="E53" s="16">
        <v>1.1445844513127065E-2</v>
      </c>
      <c r="F53" s="19">
        <v>2.4611487904056404E-2</v>
      </c>
      <c r="G53" s="16">
        <v>2.1679236835761291E-2</v>
      </c>
      <c r="H53" s="22">
        <v>2.0805732671135002E-2</v>
      </c>
      <c r="I53" s="25">
        <v>1.4733154749639396E-2</v>
      </c>
      <c r="J53" s="22">
        <v>1.2065057992267696E-2</v>
      </c>
      <c r="K53" s="25">
        <v>6.3272473792863109E-3</v>
      </c>
      <c r="L53" s="22">
        <v>9.0008115485822465E-3</v>
      </c>
      <c r="M53" s="25">
        <v>8.7396075823079466E-3</v>
      </c>
      <c r="N53" s="19">
        <v>2.349945912994628E-2</v>
      </c>
      <c r="O53" s="19">
        <v>2.8303079134872098E-2</v>
      </c>
      <c r="P53" s="16">
        <v>1.5319253501636033E-2</v>
      </c>
      <c r="Q53" s="19">
        <v>1.7681283194107122E-2</v>
      </c>
      <c r="R53" s="16">
        <v>1.3146431682828941E-2</v>
      </c>
      <c r="S53" s="25">
        <v>6.0862900680762784E-3</v>
      </c>
      <c r="T53" s="22">
        <v>1.0854731095834994E-2</v>
      </c>
      <c r="U53" s="25">
        <v>1.2032085561497322E-2</v>
      </c>
      <c r="V53" s="22">
        <v>1.0737849027355044E-2</v>
      </c>
      <c r="W53" s="25">
        <v>6.8905831444467372E-3</v>
      </c>
    </row>
    <row r="54" spans="1:23" x14ac:dyDescent="0.2">
      <c r="A54" s="6" t="s">
        <v>305</v>
      </c>
      <c r="B54" s="19">
        <v>0</v>
      </c>
      <c r="C54" s="16">
        <v>1.3850031855073266E-5</v>
      </c>
      <c r="D54" s="19">
        <v>2.1318173743116006E-5</v>
      </c>
      <c r="E54" s="16">
        <v>0</v>
      </c>
      <c r="F54" s="19">
        <v>4.5774621024283436E-5</v>
      </c>
      <c r="G54" s="16">
        <v>0</v>
      </c>
      <c r="H54" s="22">
        <v>0</v>
      </c>
      <c r="I54" s="25">
        <v>2.5757263548320626E-5</v>
      </c>
      <c r="J54" s="22">
        <v>0</v>
      </c>
      <c r="K54" s="25">
        <v>0</v>
      </c>
      <c r="L54" s="22">
        <v>0</v>
      </c>
      <c r="M54" s="25">
        <v>0</v>
      </c>
      <c r="N54" s="19">
        <v>0</v>
      </c>
      <c r="O54" s="19">
        <v>0</v>
      </c>
      <c r="P54" s="16">
        <v>0</v>
      </c>
      <c r="Q54" s="19">
        <v>0</v>
      </c>
      <c r="R54" s="16">
        <v>0</v>
      </c>
      <c r="S54" s="25">
        <v>0</v>
      </c>
      <c r="T54" s="22">
        <v>0</v>
      </c>
      <c r="U54" s="25">
        <v>0</v>
      </c>
      <c r="V54" s="22">
        <v>0</v>
      </c>
      <c r="W54" s="25">
        <v>0</v>
      </c>
    </row>
    <row r="55" spans="1:23" x14ac:dyDescent="0.2">
      <c r="A55" s="6" t="s">
        <v>304</v>
      </c>
      <c r="B55" s="19">
        <v>5.3545930509281295E-4</v>
      </c>
      <c r="C55" s="16">
        <v>0</v>
      </c>
      <c r="D55" s="19">
        <v>3.7662106946171605E-4</v>
      </c>
      <c r="E55" s="16">
        <v>6.1135074550827022E-5</v>
      </c>
      <c r="F55" s="19">
        <v>1.4876751832892119E-3</v>
      </c>
      <c r="G55" s="16">
        <v>0</v>
      </c>
      <c r="H55" s="22">
        <v>1.9578794859913723E-4</v>
      </c>
      <c r="I55" s="25">
        <v>1.2878631774160313E-5</v>
      </c>
      <c r="J55" s="22">
        <v>0</v>
      </c>
      <c r="K55" s="25">
        <v>0</v>
      </c>
      <c r="L55" s="22">
        <v>7.3777143840838107E-5</v>
      </c>
      <c r="M55" s="25">
        <v>6.6511473229132029E-5</v>
      </c>
      <c r="N55" s="19">
        <v>2.5698798132952434E-4</v>
      </c>
      <c r="O55" s="19">
        <v>4.9765391724726287E-4</v>
      </c>
      <c r="P55" s="16">
        <v>2.0692955342015756E-4</v>
      </c>
      <c r="Q55" s="19">
        <v>0</v>
      </c>
      <c r="R55" s="16">
        <v>2.1422756680329623E-5</v>
      </c>
      <c r="S55" s="25">
        <v>1.2881037181113824E-5</v>
      </c>
      <c r="T55" s="22">
        <v>2.5272947836635664E-5</v>
      </c>
      <c r="U55" s="25">
        <v>0</v>
      </c>
      <c r="V55" s="22">
        <v>3.1507772967591106E-5</v>
      </c>
      <c r="W55" s="25">
        <v>0</v>
      </c>
    </row>
    <row r="56" spans="1:23" x14ac:dyDescent="0.2">
      <c r="A56" s="6" t="s">
        <v>303</v>
      </c>
      <c r="B56" s="19">
        <v>0</v>
      </c>
      <c r="C56" s="16">
        <v>0</v>
      </c>
      <c r="D56" s="19">
        <v>0</v>
      </c>
      <c r="E56" s="16">
        <v>0</v>
      </c>
      <c r="F56" s="19">
        <v>0</v>
      </c>
      <c r="G56" s="16">
        <v>0</v>
      </c>
      <c r="H56" s="22">
        <v>0</v>
      </c>
      <c r="I56" s="25">
        <v>0</v>
      </c>
      <c r="J56" s="22">
        <v>0</v>
      </c>
      <c r="K56" s="25">
        <v>0</v>
      </c>
      <c r="L56" s="22">
        <v>0</v>
      </c>
      <c r="M56" s="25">
        <v>0</v>
      </c>
      <c r="N56" s="19">
        <v>0</v>
      </c>
      <c r="O56" s="19">
        <v>0</v>
      </c>
      <c r="P56" s="16">
        <v>0</v>
      </c>
      <c r="Q56" s="19">
        <v>0</v>
      </c>
      <c r="R56" s="16">
        <v>0</v>
      </c>
      <c r="S56" s="25">
        <v>0</v>
      </c>
      <c r="T56" s="22">
        <v>1.8954710877476749E-5</v>
      </c>
      <c r="U56" s="25">
        <v>0</v>
      </c>
      <c r="V56" s="22">
        <v>0</v>
      </c>
      <c r="W56" s="25">
        <v>0</v>
      </c>
    </row>
    <row r="57" spans="1:23" x14ac:dyDescent="0.2">
      <c r="A57" s="6" t="s">
        <v>302</v>
      </c>
      <c r="B57" s="19">
        <v>2.7764556560368078E-4</v>
      </c>
      <c r="C57" s="16">
        <v>0</v>
      </c>
      <c r="D57" s="19">
        <v>7.1771184935157236E-4</v>
      </c>
      <c r="E57" s="16">
        <v>1.7661243759127806E-4</v>
      </c>
      <c r="F57" s="19">
        <v>2.4413131212951166E-4</v>
      </c>
      <c r="G57" s="16">
        <v>7.7487343733856806E-5</v>
      </c>
      <c r="H57" s="22">
        <v>5.2862746121767055E-4</v>
      </c>
      <c r="I57" s="25">
        <v>0</v>
      </c>
      <c r="J57" s="22">
        <v>0</v>
      </c>
      <c r="K57" s="25">
        <v>0</v>
      </c>
      <c r="L57" s="22">
        <v>2.8281238472321272E-4</v>
      </c>
      <c r="M57" s="25">
        <v>4.1237113402061858E-4</v>
      </c>
      <c r="N57" s="19">
        <v>5.3788182138737653E-5</v>
      </c>
      <c r="O57" s="19">
        <v>1.0979983253550723E-3</v>
      </c>
      <c r="P57" s="16">
        <v>1.8752990778701776E-4</v>
      </c>
      <c r="Q57" s="19">
        <v>3.4695348154474364E-4</v>
      </c>
      <c r="R57" s="16">
        <v>1.7852297233608022E-4</v>
      </c>
      <c r="S57" s="25">
        <v>3.2202592952784557E-5</v>
      </c>
      <c r="T57" s="22">
        <v>1.6237868985038411E-3</v>
      </c>
      <c r="U57" s="25">
        <v>2.5464731347084288E-5</v>
      </c>
      <c r="V57" s="22">
        <v>1.2603109187036441E-5</v>
      </c>
      <c r="W57" s="25">
        <v>3.2969297341850403E-5</v>
      </c>
    </row>
    <row r="58" spans="1:23" x14ac:dyDescent="0.2">
      <c r="A58" s="6" t="s">
        <v>301</v>
      </c>
      <c r="B58" s="19">
        <v>0</v>
      </c>
      <c r="C58" s="16">
        <v>0</v>
      </c>
      <c r="D58" s="19">
        <v>6.3954521229348018E-5</v>
      </c>
      <c r="E58" s="16">
        <v>0</v>
      </c>
      <c r="F58" s="19">
        <v>0</v>
      </c>
      <c r="G58" s="16">
        <v>0</v>
      </c>
      <c r="H58" s="22">
        <v>0</v>
      </c>
      <c r="I58" s="25">
        <v>0</v>
      </c>
      <c r="J58" s="22">
        <v>0</v>
      </c>
      <c r="K58" s="25">
        <v>0</v>
      </c>
      <c r="L58" s="22">
        <v>0</v>
      </c>
      <c r="M58" s="25">
        <v>0</v>
      </c>
      <c r="N58" s="19">
        <v>0</v>
      </c>
      <c r="O58" s="19">
        <v>0</v>
      </c>
      <c r="P58" s="16">
        <v>0</v>
      </c>
      <c r="Q58" s="19">
        <v>0</v>
      </c>
      <c r="R58" s="16">
        <v>0</v>
      </c>
      <c r="S58" s="25">
        <v>0</v>
      </c>
      <c r="T58" s="22">
        <v>1.8954710877476749E-5</v>
      </c>
      <c r="U58" s="25">
        <v>0</v>
      </c>
      <c r="V58" s="22">
        <v>0</v>
      </c>
      <c r="W58" s="25">
        <v>0</v>
      </c>
    </row>
    <row r="59" spans="1:23" x14ac:dyDescent="0.2">
      <c r="A59" s="6" t="s">
        <v>300</v>
      </c>
      <c r="B59" s="19">
        <v>0</v>
      </c>
      <c r="C59" s="16">
        <v>0</v>
      </c>
      <c r="D59" s="19">
        <v>1.4212115828744005E-5</v>
      </c>
      <c r="E59" s="16">
        <v>8.8306218795639028E-5</v>
      </c>
      <c r="F59" s="19">
        <v>0</v>
      </c>
      <c r="G59" s="16">
        <v>0</v>
      </c>
      <c r="H59" s="22">
        <v>1.4357782897270064E-4</v>
      </c>
      <c r="I59" s="25">
        <v>0</v>
      </c>
      <c r="J59" s="22">
        <v>6.6657778962804954E-5</v>
      </c>
      <c r="K59" s="25">
        <v>1.3405185125606584E-5</v>
      </c>
      <c r="L59" s="22">
        <v>1.2296190640139685E-5</v>
      </c>
      <c r="M59" s="25">
        <v>0</v>
      </c>
      <c r="N59" s="19">
        <v>2.2112919323703255E-4</v>
      </c>
      <c r="O59" s="19">
        <v>0</v>
      </c>
      <c r="P59" s="16">
        <v>4.5265839810659458E-5</v>
      </c>
      <c r="Q59" s="19">
        <v>0</v>
      </c>
      <c r="R59" s="16">
        <v>1.2139562118853456E-4</v>
      </c>
      <c r="S59" s="25">
        <v>7.0845704496126031E-5</v>
      </c>
      <c r="T59" s="22">
        <v>1.2004650222401941E-4</v>
      </c>
      <c r="U59" s="25">
        <v>1.9735166793990322E-4</v>
      </c>
      <c r="V59" s="22">
        <v>7.5618655122218647E-5</v>
      </c>
      <c r="W59" s="25">
        <v>3.6266227076035444E-4</v>
      </c>
    </row>
    <row r="60" spans="1:23" x14ac:dyDescent="0.2">
      <c r="A60" s="6" t="s">
        <v>299</v>
      </c>
      <c r="B60" s="19">
        <v>1.3221217409699086E-5</v>
      </c>
      <c r="C60" s="16">
        <v>0</v>
      </c>
      <c r="D60" s="19">
        <v>1.4212115828744005E-5</v>
      </c>
      <c r="E60" s="16">
        <v>9.5099004856842026E-5</v>
      </c>
      <c r="F60" s="19">
        <v>2.4413131212951166E-4</v>
      </c>
      <c r="G60" s="16">
        <v>1.2914557288976134E-4</v>
      </c>
      <c r="H60" s="22">
        <v>2.2189300841235553E-4</v>
      </c>
      <c r="I60" s="25">
        <v>8.3711106532042043E-5</v>
      </c>
      <c r="J60" s="22">
        <v>7.3323556859085457E-5</v>
      </c>
      <c r="K60" s="25">
        <v>0</v>
      </c>
      <c r="L60" s="22">
        <v>2.459238128027937E-5</v>
      </c>
      <c r="M60" s="25">
        <v>7.3162620552045231E-5</v>
      </c>
      <c r="N60" s="19">
        <v>0</v>
      </c>
      <c r="O60" s="19">
        <v>3.1597074110937326E-5</v>
      </c>
      <c r="P60" s="16">
        <v>0</v>
      </c>
      <c r="Q60" s="19">
        <v>4.0033094024393497E-5</v>
      </c>
      <c r="R60" s="16">
        <v>1.0711378340164813E-4</v>
      </c>
      <c r="S60" s="25">
        <v>3.2202592952784557E-5</v>
      </c>
      <c r="T60" s="22">
        <v>3.7909421754953497E-5</v>
      </c>
      <c r="U60" s="25">
        <v>7.0028011204481788E-5</v>
      </c>
      <c r="V60" s="22">
        <v>3.7809327561109323E-5</v>
      </c>
      <c r="W60" s="25">
        <v>3.2969297341850403E-5</v>
      </c>
    </row>
    <row r="61" spans="1:23" x14ac:dyDescent="0.2">
      <c r="A61" s="6" t="s">
        <v>298</v>
      </c>
      <c r="B61" s="19">
        <v>5.9495478343645881E-5</v>
      </c>
      <c r="C61" s="16">
        <v>0</v>
      </c>
      <c r="D61" s="19">
        <v>6.3954521229348018E-5</v>
      </c>
      <c r="E61" s="16">
        <v>1.1547736304045105E-4</v>
      </c>
      <c r="F61" s="19">
        <v>9.1549242048566873E-5</v>
      </c>
      <c r="G61" s="16">
        <v>2.5829114577952269E-4</v>
      </c>
      <c r="H61" s="22">
        <v>2.3494553831896468E-4</v>
      </c>
      <c r="I61" s="25">
        <v>5.7953842983721407E-5</v>
      </c>
      <c r="J61" s="22">
        <v>5.9992001066524464E-5</v>
      </c>
      <c r="K61" s="25">
        <v>1.3405185125606584E-5</v>
      </c>
      <c r="L61" s="22">
        <v>6.1480953200698427E-5</v>
      </c>
      <c r="M61" s="25">
        <v>0</v>
      </c>
      <c r="N61" s="19">
        <v>1.4941161705204903E-4</v>
      </c>
      <c r="O61" s="19">
        <v>0</v>
      </c>
      <c r="P61" s="16">
        <v>0</v>
      </c>
      <c r="Q61" s="19">
        <v>0</v>
      </c>
      <c r="R61" s="16">
        <v>0</v>
      </c>
      <c r="S61" s="25">
        <v>1.9321555771670734E-5</v>
      </c>
      <c r="T61" s="22">
        <v>0</v>
      </c>
      <c r="U61" s="25">
        <v>0</v>
      </c>
      <c r="V61" s="22">
        <v>3.1507772967591106E-5</v>
      </c>
      <c r="W61" s="25">
        <v>3.2969297341850403E-5</v>
      </c>
    </row>
    <row r="62" spans="1:23" x14ac:dyDescent="0.2">
      <c r="A62" s="6" t="s">
        <v>297</v>
      </c>
      <c r="B62" s="19">
        <v>7.9327304458194506E-4</v>
      </c>
      <c r="C62" s="16">
        <v>2.6315060524639209E-4</v>
      </c>
      <c r="D62" s="19">
        <v>4.4412861964825022E-3</v>
      </c>
      <c r="E62" s="16">
        <v>2.9548619366233059E-3</v>
      </c>
      <c r="F62" s="19">
        <v>1.5944826323458731E-3</v>
      </c>
      <c r="G62" s="16">
        <v>1.2225780900230741E-3</v>
      </c>
      <c r="H62" s="22">
        <v>8.2426726360236777E-3</v>
      </c>
      <c r="I62" s="25">
        <v>6.1173500927261466E-4</v>
      </c>
      <c r="J62" s="22">
        <v>1.9530729236101852E-3</v>
      </c>
      <c r="K62" s="25">
        <v>5.2280221989865685E-4</v>
      </c>
      <c r="L62" s="22">
        <v>2.4592381280279371E-3</v>
      </c>
      <c r="M62" s="25">
        <v>2.108413701363485E-3</v>
      </c>
      <c r="N62" s="19">
        <v>4.0042313369949133E-3</v>
      </c>
      <c r="O62" s="19">
        <v>4.6605684313632571E-3</v>
      </c>
      <c r="P62" s="16">
        <v>1.7977004953376183E-3</v>
      </c>
      <c r="Q62" s="19">
        <v>1.0675491739838266E-3</v>
      </c>
      <c r="R62" s="16">
        <v>9.8544680729516286E-4</v>
      </c>
      <c r="S62" s="25">
        <v>1.7067374264975823E-3</v>
      </c>
      <c r="T62" s="22">
        <v>3.9678528103517996E-3</v>
      </c>
      <c r="U62" s="25">
        <v>1.0758848994143111E-3</v>
      </c>
      <c r="V62" s="22">
        <v>1.1279782722397613E-3</v>
      </c>
      <c r="W62" s="25">
        <v>1.0715021636101378E-3</v>
      </c>
    </row>
    <row r="63" spans="1:23" x14ac:dyDescent="0.2">
      <c r="A63" s="6" t="s">
        <v>296</v>
      </c>
      <c r="B63" s="19">
        <v>5.9495478343645888E-5</v>
      </c>
      <c r="C63" s="16">
        <v>0</v>
      </c>
      <c r="D63" s="19">
        <v>0</v>
      </c>
      <c r="E63" s="16">
        <v>0</v>
      </c>
      <c r="F63" s="19">
        <v>0</v>
      </c>
      <c r="G63" s="16">
        <v>0</v>
      </c>
      <c r="H63" s="22">
        <v>0</v>
      </c>
      <c r="I63" s="25">
        <v>0</v>
      </c>
      <c r="J63" s="22">
        <v>0</v>
      </c>
      <c r="K63" s="25">
        <v>0</v>
      </c>
      <c r="L63" s="22">
        <v>0</v>
      </c>
      <c r="M63" s="25">
        <v>0</v>
      </c>
      <c r="N63" s="19">
        <v>1.1952929364163923E-5</v>
      </c>
      <c r="O63" s="19">
        <v>0</v>
      </c>
      <c r="P63" s="16">
        <v>0</v>
      </c>
      <c r="Q63" s="19">
        <v>0</v>
      </c>
      <c r="R63" s="16">
        <v>0</v>
      </c>
      <c r="S63" s="25">
        <v>0</v>
      </c>
      <c r="T63" s="22">
        <v>0</v>
      </c>
      <c r="U63" s="25">
        <v>0</v>
      </c>
      <c r="V63" s="22">
        <v>0</v>
      </c>
      <c r="W63" s="25">
        <v>0</v>
      </c>
    </row>
    <row r="64" spans="1:23" x14ac:dyDescent="0.2">
      <c r="A64" s="6" t="s">
        <v>295</v>
      </c>
      <c r="B64" s="19">
        <v>0</v>
      </c>
      <c r="C64" s="16">
        <v>0</v>
      </c>
      <c r="D64" s="19">
        <v>4.2636347486232012E-5</v>
      </c>
      <c r="E64" s="16">
        <v>0</v>
      </c>
      <c r="F64" s="19">
        <v>0</v>
      </c>
      <c r="G64" s="16">
        <v>0</v>
      </c>
      <c r="H64" s="22">
        <v>0</v>
      </c>
      <c r="I64" s="25">
        <v>0</v>
      </c>
      <c r="J64" s="22">
        <v>0</v>
      </c>
      <c r="K64" s="25">
        <v>0</v>
      </c>
      <c r="L64" s="22">
        <v>0</v>
      </c>
      <c r="M64" s="25">
        <v>0</v>
      </c>
      <c r="N64" s="19">
        <v>0</v>
      </c>
      <c r="O64" s="19">
        <v>0</v>
      </c>
      <c r="P64" s="16">
        <v>0</v>
      </c>
      <c r="Q64" s="19">
        <v>0</v>
      </c>
      <c r="R64" s="16">
        <v>0</v>
      </c>
      <c r="S64" s="25">
        <v>0</v>
      </c>
      <c r="T64" s="22">
        <v>1.8954710877476749E-5</v>
      </c>
      <c r="U64" s="25">
        <v>0</v>
      </c>
      <c r="V64" s="22">
        <v>0</v>
      </c>
      <c r="W64" s="25">
        <v>0</v>
      </c>
    </row>
    <row r="65" spans="1:23" x14ac:dyDescent="0.2">
      <c r="A65" s="6" t="s">
        <v>294</v>
      </c>
      <c r="B65" s="19">
        <v>1.3221217409699086E-5</v>
      </c>
      <c r="C65" s="16">
        <v>2.07750477826099E-5</v>
      </c>
      <c r="D65" s="19">
        <v>9.9484810801208032E-5</v>
      </c>
      <c r="E65" s="16">
        <v>0</v>
      </c>
      <c r="F65" s="19">
        <v>0</v>
      </c>
      <c r="G65" s="16">
        <v>5.1658229155904537E-5</v>
      </c>
      <c r="H65" s="22">
        <v>2.6757686308548757E-4</v>
      </c>
      <c r="I65" s="25">
        <v>1.2878631774160313E-5</v>
      </c>
      <c r="J65" s="22">
        <v>6.6657778962804954E-5</v>
      </c>
      <c r="K65" s="25">
        <v>1.0053888844204939E-4</v>
      </c>
      <c r="L65" s="22">
        <v>1.4755428768167621E-4</v>
      </c>
      <c r="M65" s="25">
        <v>1.1306950448952444E-4</v>
      </c>
      <c r="N65" s="19">
        <v>0</v>
      </c>
      <c r="O65" s="19">
        <v>0</v>
      </c>
      <c r="P65" s="16">
        <v>5.8198936899419307E-5</v>
      </c>
      <c r="Q65" s="19">
        <v>1.6013237609757399E-4</v>
      </c>
      <c r="R65" s="16">
        <v>3.5704594467216042E-5</v>
      </c>
      <c r="S65" s="25">
        <v>5.1524148724455294E-5</v>
      </c>
      <c r="T65" s="22">
        <v>0</v>
      </c>
      <c r="U65" s="25">
        <v>5.0929462694168576E-5</v>
      </c>
      <c r="V65" s="22">
        <v>8.8221764309255095E-5</v>
      </c>
      <c r="W65" s="25">
        <v>9.0665567690088609E-5</v>
      </c>
    </row>
    <row r="66" spans="1:23" x14ac:dyDescent="0.2">
      <c r="A66" s="6" t="s">
        <v>293</v>
      </c>
      <c r="B66" s="19">
        <v>1.3221217409699086E-3</v>
      </c>
      <c r="C66" s="16">
        <v>1.4196282651450099E-3</v>
      </c>
      <c r="D66" s="19">
        <v>1.5491206253330967E-3</v>
      </c>
      <c r="E66" s="16">
        <v>4.3473830791699219E-4</v>
      </c>
      <c r="F66" s="19">
        <v>1.7318064954187234E-3</v>
      </c>
      <c r="G66" s="16">
        <v>4.0465612838791888E-4</v>
      </c>
      <c r="H66" s="22">
        <v>7.8967805934985352E-4</v>
      </c>
      <c r="I66" s="25">
        <v>7.1476406346589747E-4</v>
      </c>
      <c r="J66" s="22">
        <v>2.7329689374750034E-4</v>
      </c>
      <c r="K66" s="25">
        <v>5.3620740502426337E-5</v>
      </c>
      <c r="L66" s="22">
        <v>8.7302953544991747E-4</v>
      </c>
      <c r="M66" s="25">
        <v>1.2437645493847691E-3</v>
      </c>
      <c r="N66" s="19">
        <v>8.7854030826604835E-4</v>
      </c>
      <c r="O66" s="19">
        <v>4.32089988467068E-3</v>
      </c>
      <c r="P66" s="16">
        <v>2.2956247332548726E-3</v>
      </c>
      <c r="Q66" s="19">
        <v>9.7413862126024175E-4</v>
      </c>
      <c r="R66" s="16">
        <v>6.6410545709021834E-4</v>
      </c>
      <c r="S66" s="25">
        <v>1.9321555771670734E-4</v>
      </c>
      <c r="T66" s="22">
        <v>2.0976546704407602E-3</v>
      </c>
      <c r="U66" s="25">
        <v>9.8039215686274508E-4</v>
      </c>
      <c r="V66" s="22">
        <v>4.4110882154627546E-4</v>
      </c>
      <c r="W66" s="25">
        <v>6.5938594683700807E-5</v>
      </c>
    </row>
    <row r="67" spans="1:23" x14ac:dyDescent="0.2">
      <c r="A67" s="6" t="s">
        <v>292</v>
      </c>
      <c r="B67" s="19">
        <v>1.201147601671162E-2</v>
      </c>
      <c r="C67" s="16">
        <v>2.3856679870363707E-2</v>
      </c>
      <c r="D67" s="19">
        <v>1.5185645763012972E-2</v>
      </c>
      <c r="E67" s="16">
        <v>1.3796148490303297E-2</v>
      </c>
      <c r="F67" s="19">
        <v>1.7531679852300554E-2</v>
      </c>
      <c r="G67" s="16">
        <v>8.8077280710817246E-3</v>
      </c>
      <c r="H67" s="22">
        <v>1.6315662383261436E-4</v>
      </c>
      <c r="I67" s="25">
        <v>2.672316093138265E-3</v>
      </c>
      <c r="J67" s="22">
        <v>4.2927609652046398E-3</v>
      </c>
      <c r="K67" s="25">
        <v>4.5778707203946497E-3</v>
      </c>
      <c r="L67" s="22">
        <v>1.5370238300174608E-3</v>
      </c>
      <c r="M67" s="25">
        <v>2.1882274692384437E-3</v>
      </c>
      <c r="N67" s="19">
        <v>1.8001111622430864E-2</v>
      </c>
      <c r="O67" s="19">
        <v>6.1535301831050432E-3</v>
      </c>
      <c r="P67" s="16">
        <v>1.1200062078866023E-2</v>
      </c>
      <c r="Q67" s="19">
        <v>3.4415116496303612E-2</v>
      </c>
      <c r="R67" s="16">
        <v>2.3207986403690421E-2</v>
      </c>
      <c r="S67" s="25">
        <v>1.0710582416096142E-2</v>
      </c>
      <c r="T67" s="22">
        <v>2.7042054185200158E-3</v>
      </c>
      <c r="U67" s="25">
        <v>1.8461930226636109E-3</v>
      </c>
      <c r="V67" s="22">
        <v>4.2976602327794268E-3</v>
      </c>
      <c r="W67" s="25">
        <v>1.2470636719554916E-2</v>
      </c>
    </row>
    <row r="68" spans="1:23" x14ac:dyDescent="0.2">
      <c r="A68" s="6" t="s">
        <v>291</v>
      </c>
      <c r="B68" s="19">
        <v>2.4459252207943309E-4</v>
      </c>
      <c r="C68" s="16">
        <v>0</v>
      </c>
      <c r="D68" s="19">
        <v>4.3346953277669214E-4</v>
      </c>
      <c r="E68" s="16">
        <v>2.0378358183609005E-4</v>
      </c>
      <c r="F68" s="19">
        <v>1.2969475956880306E-4</v>
      </c>
      <c r="G68" s="16">
        <v>1.3775527774907877E-4</v>
      </c>
      <c r="H68" s="22">
        <v>6.5915276028376193E-4</v>
      </c>
      <c r="I68" s="25">
        <v>1.6098289717700391E-4</v>
      </c>
      <c r="J68" s="22">
        <v>5.3326223170243963E-4</v>
      </c>
      <c r="K68" s="25">
        <v>2.4129333226091849E-4</v>
      </c>
      <c r="L68" s="22">
        <v>8.5458524948970813E-4</v>
      </c>
      <c r="M68" s="25">
        <v>5.1878949118722975E-4</v>
      </c>
      <c r="N68" s="19">
        <v>0</v>
      </c>
      <c r="O68" s="19">
        <v>0</v>
      </c>
      <c r="P68" s="16">
        <v>3.1686087867461622E-4</v>
      </c>
      <c r="Q68" s="19">
        <v>4.537083989431263E-4</v>
      </c>
      <c r="R68" s="16">
        <v>2.3565032348362585E-4</v>
      </c>
      <c r="S68" s="25">
        <v>1.2236985322058131E-4</v>
      </c>
      <c r="T68" s="22">
        <v>4.9282248281439553E-4</v>
      </c>
      <c r="U68" s="25">
        <v>7.4484339190221546E-4</v>
      </c>
      <c r="V68" s="22">
        <v>4.2850571235923901E-4</v>
      </c>
      <c r="W68" s="25">
        <v>2.3078508139295282E-4</v>
      </c>
    </row>
    <row r="69" spans="1:23" x14ac:dyDescent="0.2">
      <c r="A69" s="6" t="s">
        <v>290</v>
      </c>
      <c r="B69" s="19">
        <v>1.1238034798244222E-4</v>
      </c>
      <c r="C69" s="16">
        <v>0</v>
      </c>
      <c r="D69" s="19">
        <v>1.6343933203055605E-4</v>
      </c>
      <c r="E69" s="16">
        <v>1.4944129334646606E-4</v>
      </c>
      <c r="F69" s="19">
        <v>2.2887310512141718E-5</v>
      </c>
      <c r="G69" s="16">
        <v>4.0465612838791888E-4</v>
      </c>
      <c r="H69" s="22">
        <v>0</v>
      </c>
      <c r="I69" s="25">
        <v>0</v>
      </c>
      <c r="J69" s="22">
        <v>0</v>
      </c>
      <c r="K69" s="25">
        <v>0</v>
      </c>
      <c r="L69" s="22">
        <v>0</v>
      </c>
      <c r="M69" s="25">
        <v>0</v>
      </c>
      <c r="N69" s="19">
        <v>2.9882323410409807E-5</v>
      </c>
      <c r="O69" s="19">
        <v>3.001722040539046E-4</v>
      </c>
      <c r="P69" s="16">
        <v>2.1339610196453745E-4</v>
      </c>
      <c r="Q69" s="19">
        <v>4.4036403426832846E-4</v>
      </c>
      <c r="R69" s="16">
        <v>2.2136848569673945E-4</v>
      </c>
      <c r="S69" s="25">
        <v>0</v>
      </c>
      <c r="T69" s="22">
        <v>6.3182369591589164E-5</v>
      </c>
      <c r="U69" s="25">
        <v>0</v>
      </c>
      <c r="V69" s="22">
        <v>0</v>
      </c>
      <c r="W69" s="25">
        <v>0</v>
      </c>
    </row>
    <row r="70" spans="1:23" x14ac:dyDescent="0.2">
      <c r="A70" s="6" t="s">
        <v>289</v>
      </c>
      <c r="B70" s="19">
        <v>0</v>
      </c>
      <c r="C70" s="16">
        <v>2.07750477826099E-5</v>
      </c>
      <c r="D70" s="19">
        <v>2.3449991117427608E-4</v>
      </c>
      <c r="E70" s="16">
        <v>7.4720646673233018E-5</v>
      </c>
      <c r="F70" s="19">
        <v>3.0516414016188958E-5</v>
      </c>
      <c r="G70" s="16">
        <v>5.1658229155904537E-5</v>
      </c>
      <c r="H70" s="22">
        <v>0</v>
      </c>
      <c r="I70" s="25">
        <v>0</v>
      </c>
      <c r="J70" s="22">
        <v>2.6663111585121983E-5</v>
      </c>
      <c r="K70" s="25">
        <v>4.0215555376819756E-5</v>
      </c>
      <c r="L70" s="22">
        <v>2.459238128027937E-5</v>
      </c>
      <c r="M70" s="25">
        <v>4.6558031260392418E-5</v>
      </c>
      <c r="N70" s="19">
        <v>2.9882323410409807E-4</v>
      </c>
      <c r="O70" s="19">
        <v>0</v>
      </c>
      <c r="P70" s="16">
        <v>1.2933097088759846E-5</v>
      </c>
      <c r="Q70" s="19">
        <v>4.0033094024393497E-5</v>
      </c>
      <c r="R70" s="16">
        <v>1.856638912295234E-4</v>
      </c>
      <c r="S70" s="25">
        <v>0</v>
      </c>
      <c r="T70" s="22">
        <v>3.7909421754953497E-5</v>
      </c>
      <c r="U70" s="25">
        <v>0</v>
      </c>
      <c r="V70" s="22">
        <v>3.7809327561109323E-5</v>
      </c>
      <c r="W70" s="25">
        <v>4.1211621677313004E-5</v>
      </c>
    </row>
    <row r="71" spans="1:23" x14ac:dyDescent="0.2">
      <c r="A71" s="6" t="s">
        <v>288</v>
      </c>
      <c r="B71" s="19">
        <v>3.5036226135702576E-4</v>
      </c>
      <c r="C71" s="16">
        <v>3.8087587601451481E-4</v>
      </c>
      <c r="D71" s="19">
        <v>1.0801208029845443E-3</v>
      </c>
      <c r="E71" s="16">
        <v>8.6268382977278124E-4</v>
      </c>
      <c r="F71" s="19">
        <v>3.8908427870640923E-4</v>
      </c>
      <c r="G71" s="16">
        <v>8.5236078107242487E-4</v>
      </c>
      <c r="H71" s="22">
        <v>5.2210119626436595E-4</v>
      </c>
      <c r="I71" s="25">
        <v>3.3484442612816812E-4</v>
      </c>
      <c r="J71" s="22">
        <v>9.1321157179042798E-4</v>
      </c>
      <c r="K71" s="25">
        <v>5.1609962733585352E-4</v>
      </c>
      <c r="L71" s="22">
        <v>8.054004869291493E-4</v>
      </c>
      <c r="M71" s="25">
        <v>6.5846358496840702E-4</v>
      </c>
      <c r="N71" s="19">
        <v>0</v>
      </c>
      <c r="O71" s="19">
        <v>8.9261734363397941E-4</v>
      </c>
      <c r="P71" s="16">
        <v>7.3718653405931123E-4</v>
      </c>
      <c r="Q71" s="19">
        <v>7.873175158130721E-4</v>
      </c>
      <c r="R71" s="16">
        <v>1.6923977777460401E-3</v>
      </c>
      <c r="S71" s="25">
        <v>3.7999059684285782E-4</v>
      </c>
      <c r="T71" s="22">
        <v>1.0298726243429034E-3</v>
      </c>
      <c r="U71" s="25">
        <v>4.965622612681436E-4</v>
      </c>
      <c r="V71" s="22">
        <v>1.1531844906138345E-3</v>
      </c>
      <c r="W71" s="25">
        <v>5.6047805481145691E-4</v>
      </c>
    </row>
    <row r="72" spans="1:23" x14ac:dyDescent="0.2">
      <c r="A72" s="6" t="s">
        <v>287</v>
      </c>
      <c r="B72" s="19">
        <v>0</v>
      </c>
      <c r="C72" s="16">
        <v>0</v>
      </c>
      <c r="D72" s="19">
        <v>2.842423165748801E-5</v>
      </c>
      <c r="E72" s="16">
        <v>0</v>
      </c>
      <c r="F72" s="19">
        <v>0</v>
      </c>
      <c r="G72" s="16">
        <v>0</v>
      </c>
      <c r="H72" s="22">
        <v>0</v>
      </c>
      <c r="I72" s="25">
        <v>0</v>
      </c>
      <c r="J72" s="22">
        <v>0</v>
      </c>
      <c r="K72" s="25">
        <v>0</v>
      </c>
      <c r="L72" s="22">
        <v>0</v>
      </c>
      <c r="M72" s="25">
        <v>1.3302294645826405E-5</v>
      </c>
      <c r="N72" s="19">
        <v>0</v>
      </c>
      <c r="O72" s="19">
        <v>0</v>
      </c>
      <c r="P72" s="16">
        <v>0</v>
      </c>
      <c r="Q72" s="19">
        <v>0</v>
      </c>
      <c r="R72" s="16">
        <v>0</v>
      </c>
      <c r="S72" s="25">
        <v>0</v>
      </c>
      <c r="T72" s="22">
        <v>0</v>
      </c>
      <c r="U72" s="25">
        <v>0</v>
      </c>
      <c r="V72" s="22">
        <v>0</v>
      </c>
      <c r="W72" s="25">
        <v>2.4726973006387802E-5</v>
      </c>
    </row>
    <row r="73" spans="1:23" x14ac:dyDescent="0.2">
      <c r="A73" s="6" t="s">
        <v>286</v>
      </c>
      <c r="B73" s="19">
        <v>0</v>
      </c>
      <c r="C73" s="16">
        <v>0</v>
      </c>
      <c r="D73" s="19">
        <v>0</v>
      </c>
      <c r="E73" s="16">
        <v>0</v>
      </c>
      <c r="F73" s="19">
        <v>6.1032828032377915E-5</v>
      </c>
      <c r="G73" s="16">
        <v>1.7219409718634846E-5</v>
      </c>
      <c r="H73" s="22">
        <v>5.8736384579741169E-5</v>
      </c>
      <c r="I73" s="25">
        <v>1.931794766124047E-5</v>
      </c>
      <c r="J73" s="22">
        <v>0</v>
      </c>
      <c r="K73" s="25">
        <v>0</v>
      </c>
      <c r="L73" s="22">
        <v>0</v>
      </c>
      <c r="M73" s="25">
        <v>0</v>
      </c>
      <c r="N73" s="19">
        <v>0</v>
      </c>
      <c r="O73" s="19">
        <v>0</v>
      </c>
      <c r="P73" s="16">
        <v>0</v>
      </c>
      <c r="Q73" s="19">
        <v>2.6688729349595664E-5</v>
      </c>
      <c r="R73" s="16">
        <v>0</v>
      </c>
      <c r="S73" s="25">
        <v>0</v>
      </c>
      <c r="T73" s="22">
        <v>0</v>
      </c>
      <c r="U73" s="25">
        <v>0</v>
      </c>
      <c r="V73" s="22">
        <v>0</v>
      </c>
      <c r="W73" s="25">
        <v>0</v>
      </c>
    </row>
    <row r="74" spans="1:23" x14ac:dyDescent="0.2">
      <c r="A74" s="6" t="s">
        <v>285</v>
      </c>
      <c r="B74" s="19">
        <v>0</v>
      </c>
      <c r="C74" s="16">
        <v>0</v>
      </c>
      <c r="D74" s="19">
        <v>0</v>
      </c>
      <c r="E74" s="16">
        <v>0</v>
      </c>
      <c r="F74" s="19">
        <v>1.0680744905666136E-4</v>
      </c>
      <c r="G74" s="16">
        <v>0</v>
      </c>
      <c r="H74" s="22">
        <v>0</v>
      </c>
      <c r="I74" s="25">
        <v>0</v>
      </c>
      <c r="J74" s="22">
        <v>0</v>
      </c>
      <c r="K74" s="25">
        <v>0</v>
      </c>
      <c r="L74" s="22">
        <v>0</v>
      </c>
      <c r="M74" s="25">
        <v>0</v>
      </c>
      <c r="N74" s="19">
        <v>0</v>
      </c>
      <c r="O74" s="19">
        <v>0</v>
      </c>
      <c r="P74" s="16">
        <v>0</v>
      </c>
      <c r="Q74" s="19">
        <v>0</v>
      </c>
      <c r="R74" s="16">
        <v>0</v>
      </c>
      <c r="S74" s="25">
        <v>0</v>
      </c>
      <c r="T74" s="22">
        <v>0</v>
      </c>
      <c r="U74" s="25">
        <v>0</v>
      </c>
      <c r="V74" s="22">
        <v>0</v>
      </c>
      <c r="W74" s="25">
        <v>0</v>
      </c>
    </row>
    <row r="75" spans="1:23" x14ac:dyDescent="0.2">
      <c r="A75" s="6" t="s">
        <v>284</v>
      </c>
      <c r="B75" s="19">
        <v>0</v>
      </c>
      <c r="C75" s="16">
        <v>0</v>
      </c>
      <c r="D75" s="19">
        <v>0</v>
      </c>
      <c r="E75" s="16">
        <v>0</v>
      </c>
      <c r="F75" s="19">
        <v>0</v>
      </c>
      <c r="G75" s="16">
        <v>2.5829114577952269E-5</v>
      </c>
      <c r="H75" s="22">
        <v>1.3052529906609149E-5</v>
      </c>
      <c r="I75" s="25">
        <v>0</v>
      </c>
      <c r="J75" s="22">
        <v>0</v>
      </c>
      <c r="K75" s="25">
        <v>0</v>
      </c>
      <c r="L75" s="22">
        <v>0</v>
      </c>
      <c r="M75" s="25">
        <v>0</v>
      </c>
      <c r="N75" s="19">
        <v>0</v>
      </c>
      <c r="O75" s="19">
        <v>0</v>
      </c>
      <c r="P75" s="16">
        <v>0</v>
      </c>
      <c r="Q75" s="19">
        <v>0</v>
      </c>
      <c r="R75" s="16">
        <v>0</v>
      </c>
      <c r="S75" s="25">
        <v>0</v>
      </c>
      <c r="T75" s="22">
        <v>0</v>
      </c>
      <c r="U75" s="25">
        <v>0</v>
      </c>
      <c r="V75" s="22">
        <v>0</v>
      </c>
      <c r="W75" s="25">
        <v>1.6484648670925202E-5</v>
      </c>
    </row>
    <row r="76" spans="1:23" x14ac:dyDescent="0.2">
      <c r="A76" s="6" t="s">
        <v>283</v>
      </c>
      <c r="B76" s="19">
        <v>1.3221217409699086E-5</v>
      </c>
      <c r="C76" s="16">
        <v>1.1080025484058613E-4</v>
      </c>
      <c r="D76" s="19">
        <v>0</v>
      </c>
      <c r="E76" s="16">
        <v>3.396393030601501E-5</v>
      </c>
      <c r="F76" s="19">
        <v>1.6021117358499203E-4</v>
      </c>
      <c r="G76" s="16">
        <v>0</v>
      </c>
      <c r="H76" s="22">
        <v>0</v>
      </c>
      <c r="I76" s="25">
        <v>2.5757263548320626E-5</v>
      </c>
      <c r="J76" s="22">
        <v>1.3331555792560992E-5</v>
      </c>
      <c r="K76" s="25">
        <v>0</v>
      </c>
      <c r="L76" s="22">
        <v>0</v>
      </c>
      <c r="M76" s="25">
        <v>0</v>
      </c>
      <c r="N76" s="19">
        <v>0</v>
      </c>
      <c r="O76" s="19">
        <v>0</v>
      </c>
      <c r="P76" s="16">
        <v>7.7598582532559067E-5</v>
      </c>
      <c r="Q76" s="19">
        <v>1.2009928207318049E-4</v>
      </c>
      <c r="R76" s="16">
        <v>7.8550107827875289E-5</v>
      </c>
      <c r="S76" s="25">
        <v>0</v>
      </c>
      <c r="T76" s="22">
        <v>0</v>
      </c>
      <c r="U76" s="25">
        <v>1.2732365673542144E-5</v>
      </c>
      <c r="V76" s="22">
        <v>0</v>
      </c>
      <c r="W76" s="25">
        <v>0</v>
      </c>
    </row>
    <row r="77" spans="1:23" x14ac:dyDescent="0.2">
      <c r="A77" s="6" t="s">
        <v>282</v>
      </c>
      <c r="B77" s="19">
        <v>7.2716695753344965E-5</v>
      </c>
      <c r="C77" s="16">
        <v>8.7947702279715233E-4</v>
      </c>
      <c r="D77" s="19">
        <v>2.344999111742761E-4</v>
      </c>
      <c r="E77" s="16">
        <v>4.2115273579458617E-4</v>
      </c>
      <c r="F77" s="19">
        <v>1.2130274571435112E-3</v>
      </c>
      <c r="G77" s="16">
        <v>1.5497468746771361E-4</v>
      </c>
      <c r="H77" s="22">
        <v>0</v>
      </c>
      <c r="I77" s="25">
        <v>3.8635895322480941E-5</v>
      </c>
      <c r="J77" s="22">
        <v>1.0665244634048793E-4</v>
      </c>
      <c r="K77" s="25">
        <v>1.2734925869326255E-4</v>
      </c>
      <c r="L77" s="22">
        <v>0</v>
      </c>
      <c r="M77" s="25">
        <v>9.3116062520784835E-5</v>
      </c>
      <c r="N77" s="19">
        <v>6.036229328902781E-4</v>
      </c>
      <c r="O77" s="19">
        <v>3.1597074110937326E-5</v>
      </c>
      <c r="P77" s="16">
        <v>4.5912494665097451E-4</v>
      </c>
      <c r="Q77" s="19">
        <v>2.1350983479676532E-4</v>
      </c>
      <c r="R77" s="16">
        <v>2.6421399905739873E-4</v>
      </c>
      <c r="S77" s="25">
        <v>2.7694229939394721E-4</v>
      </c>
      <c r="T77" s="22">
        <v>2.4009300444803881E-4</v>
      </c>
      <c r="U77" s="25">
        <v>2.5464731347084286E-4</v>
      </c>
      <c r="V77" s="22">
        <v>1.197295372768462E-4</v>
      </c>
      <c r="W77" s="25">
        <v>3.3793529775396665E-4</v>
      </c>
    </row>
    <row r="78" spans="1:23" x14ac:dyDescent="0.2">
      <c r="A78" s="6" t="s">
        <v>281</v>
      </c>
      <c r="B78" s="19">
        <v>4.3762229626103976E-3</v>
      </c>
      <c r="C78" s="16">
        <v>2.4237555746378219E-4</v>
      </c>
      <c r="D78" s="19">
        <v>5.0879374666903537E-3</v>
      </c>
      <c r="E78" s="16">
        <v>2.3027544747478181E-3</v>
      </c>
      <c r="F78" s="19">
        <v>4.1731196167138392E-3</v>
      </c>
      <c r="G78" s="16">
        <v>1.7649894961600718E-3</v>
      </c>
      <c r="H78" s="22">
        <v>2.6561898359949618E-3</v>
      </c>
      <c r="I78" s="25">
        <v>0</v>
      </c>
      <c r="J78" s="22">
        <v>1.3998133582189041E-4</v>
      </c>
      <c r="K78" s="25">
        <v>0</v>
      </c>
      <c r="L78" s="22">
        <v>3.8425595750436513E-3</v>
      </c>
      <c r="M78" s="25">
        <v>4.8087795144662457E-3</v>
      </c>
      <c r="N78" s="19">
        <v>3.8368903258966195E-3</v>
      </c>
      <c r="O78" s="19">
        <v>3.8074474303679477E-3</v>
      </c>
      <c r="P78" s="16">
        <v>1.8817656264145575E-3</v>
      </c>
      <c r="Q78" s="19">
        <v>4.6438389068296452E-3</v>
      </c>
      <c r="R78" s="16">
        <v>1.242519887459118E-3</v>
      </c>
      <c r="S78" s="25">
        <v>0</v>
      </c>
      <c r="T78" s="22">
        <v>5.1999090173877865E-3</v>
      </c>
      <c r="U78" s="25">
        <v>1.3050674815380694E-3</v>
      </c>
      <c r="V78" s="22">
        <v>5.6083835882312174E-4</v>
      </c>
      <c r="W78" s="25">
        <v>2.3078508139295282E-4</v>
      </c>
    </row>
    <row r="79" spans="1:23" x14ac:dyDescent="0.2">
      <c r="A79" s="6" t="s">
        <v>280</v>
      </c>
      <c r="B79" s="19">
        <v>0</v>
      </c>
      <c r="C79" s="16">
        <v>0</v>
      </c>
      <c r="D79" s="19">
        <v>0</v>
      </c>
      <c r="E79" s="16">
        <v>0</v>
      </c>
      <c r="F79" s="19">
        <v>0</v>
      </c>
      <c r="G79" s="16">
        <v>0</v>
      </c>
      <c r="H79" s="22">
        <v>0</v>
      </c>
      <c r="I79" s="25">
        <v>0</v>
      </c>
      <c r="J79" s="22">
        <v>0</v>
      </c>
      <c r="K79" s="25">
        <v>0</v>
      </c>
      <c r="L79" s="22">
        <v>0</v>
      </c>
      <c r="M79" s="25">
        <v>0</v>
      </c>
      <c r="N79" s="19">
        <v>0</v>
      </c>
      <c r="O79" s="19">
        <v>0</v>
      </c>
      <c r="P79" s="16">
        <v>0</v>
      </c>
      <c r="Q79" s="19">
        <v>0</v>
      </c>
      <c r="R79" s="16">
        <v>0</v>
      </c>
      <c r="S79" s="25">
        <v>0</v>
      </c>
      <c r="T79" s="22">
        <v>0</v>
      </c>
      <c r="U79" s="25">
        <v>0</v>
      </c>
      <c r="V79" s="22">
        <v>0</v>
      </c>
      <c r="W79" s="25">
        <v>2.4726973006387802E-5</v>
      </c>
    </row>
    <row r="80" spans="1:23" x14ac:dyDescent="0.2">
      <c r="A80" s="6" t="s">
        <v>279</v>
      </c>
      <c r="B80" s="19">
        <v>0</v>
      </c>
      <c r="C80" s="16">
        <v>0</v>
      </c>
      <c r="D80" s="19">
        <v>0</v>
      </c>
      <c r="E80" s="16">
        <v>0</v>
      </c>
      <c r="F80" s="19">
        <v>0</v>
      </c>
      <c r="G80" s="16">
        <v>0</v>
      </c>
      <c r="H80" s="22">
        <v>2.023142135524418E-4</v>
      </c>
      <c r="I80" s="25">
        <v>0</v>
      </c>
      <c r="J80" s="22">
        <v>0</v>
      </c>
      <c r="K80" s="25">
        <v>0</v>
      </c>
      <c r="L80" s="22">
        <v>0</v>
      </c>
      <c r="M80" s="25">
        <v>0</v>
      </c>
      <c r="N80" s="19">
        <v>2.2710565791911452E-4</v>
      </c>
      <c r="O80" s="19">
        <v>0</v>
      </c>
      <c r="P80" s="16">
        <v>0</v>
      </c>
      <c r="Q80" s="19">
        <v>0</v>
      </c>
      <c r="R80" s="16">
        <v>0</v>
      </c>
      <c r="S80" s="25">
        <v>0</v>
      </c>
      <c r="T80" s="22">
        <v>0</v>
      </c>
      <c r="U80" s="25">
        <v>0</v>
      </c>
      <c r="V80" s="22">
        <v>0</v>
      </c>
      <c r="W80" s="25">
        <v>0</v>
      </c>
    </row>
    <row r="81" spans="1:23" x14ac:dyDescent="0.2">
      <c r="A81" s="6" t="s">
        <v>278</v>
      </c>
      <c r="B81" s="19">
        <v>6.6767147918980372E-4</v>
      </c>
      <c r="C81" s="16">
        <v>8.3100191130439601E-5</v>
      </c>
      <c r="D81" s="19">
        <v>6.6796944395096825E-4</v>
      </c>
      <c r="E81" s="16">
        <v>1.8340522365248107E-4</v>
      </c>
      <c r="F81" s="19">
        <v>1.6402572533701562E-3</v>
      </c>
      <c r="G81" s="16">
        <v>7.7487343733856806E-5</v>
      </c>
      <c r="H81" s="22">
        <v>2.2189300841235553E-4</v>
      </c>
      <c r="I81" s="25">
        <v>3.9279826911188949E-4</v>
      </c>
      <c r="J81" s="22">
        <v>4.3994134115451274E-4</v>
      </c>
      <c r="K81" s="25">
        <v>2.6140110994932837E-4</v>
      </c>
      <c r="L81" s="22">
        <v>3.0740476600349214E-5</v>
      </c>
      <c r="M81" s="25">
        <v>3.9906883937479216E-5</v>
      </c>
      <c r="N81" s="19">
        <v>1.2550575832372119E-4</v>
      </c>
      <c r="O81" s="19">
        <v>2.5277659288749861E-4</v>
      </c>
      <c r="P81" s="16">
        <v>1.0023150243788879E-3</v>
      </c>
      <c r="Q81" s="19">
        <v>2.2685419947156315E-4</v>
      </c>
      <c r="R81" s="16">
        <v>3.7846870135249005E-4</v>
      </c>
      <c r="S81" s="25">
        <v>2.254181506694919E-4</v>
      </c>
      <c r="T81" s="22">
        <v>0</v>
      </c>
      <c r="U81" s="25">
        <v>3.819709702062643E-5</v>
      </c>
      <c r="V81" s="22">
        <v>7.4988499662866819E-4</v>
      </c>
      <c r="W81" s="25">
        <v>0</v>
      </c>
    </row>
    <row r="82" spans="1:23" x14ac:dyDescent="0.2">
      <c r="A82" s="6" t="s">
        <v>277</v>
      </c>
      <c r="B82" s="19">
        <v>4.5692527367920038E-2</v>
      </c>
      <c r="C82" s="16">
        <v>1.5962161712971937E-2</v>
      </c>
      <c r="D82" s="19">
        <v>3.1437200213181769E-2</v>
      </c>
      <c r="E82" s="16">
        <v>2.8713106680705092E-2</v>
      </c>
      <c r="F82" s="19">
        <v>3.7085072133173615E-2</v>
      </c>
      <c r="G82" s="16">
        <v>1.7632675551882089E-2</v>
      </c>
      <c r="H82" s="22">
        <v>4.2048725094141322E-2</v>
      </c>
      <c r="I82" s="25">
        <v>3.9073768802802361E-2</v>
      </c>
      <c r="J82" s="22">
        <v>2.0590587921610455E-2</v>
      </c>
      <c r="K82" s="25">
        <v>1.6066114373039491E-2</v>
      </c>
      <c r="L82" s="22">
        <v>6.9965324742394766E-2</v>
      </c>
      <c r="M82" s="25">
        <v>5.8756235450615243E-2</v>
      </c>
      <c r="N82" s="19">
        <v>3.0228958361970558E-2</v>
      </c>
      <c r="O82" s="19">
        <v>2.7995007662290468E-2</v>
      </c>
      <c r="P82" s="16">
        <v>1.4498001836499781E-2</v>
      </c>
      <c r="Q82" s="19">
        <v>2.1084096186180578E-2</v>
      </c>
      <c r="R82" s="16">
        <v>1.4374669732501174E-2</v>
      </c>
      <c r="S82" s="25">
        <v>2.2284194323326918E-2</v>
      </c>
      <c r="T82" s="22">
        <v>4.0619945410432609E-2</v>
      </c>
      <c r="U82" s="25">
        <v>5.1483320600967719E-2</v>
      </c>
      <c r="V82" s="22">
        <v>1.3529437712283621E-2</v>
      </c>
      <c r="W82" s="25">
        <v>7.1955491448588522E-3</v>
      </c>
    </row>
    <row r="83" spans="1:23" x14ac:dyDescent="0.2">
      <c r="A83" s="6" t="s">
        <v>276</v>
      </c>
      <c r="B83" s="19">
        <v>1.4576392194193247E-2</v>
      </c>
      <c r="C83" s="16">
        <v>4.6743857510872277E-3</v>
      </c>
      <c r="D83" s="19">
        <v>3.1906200035530297E-3</v>
      </c>
      <c r="E83" s="16">
        <v>1.3178004958733826E-3</v>
      </c>
      <c r="F83" s="19">
        <v>6.7975312221060903E-3</v>
      </c>
      <c r="G83" s="16">
        <v>1.1881392705858046E-3</v>
      </c>
      <c r="H83" s="22">
        <v>2.2189300841235553E-4</v>
      </c>
      <c r="I83" s="25">
        <v>2.4791366165258602E-3</v>
      </c>
      <c r="J83" s="22">
        <v>2.5529929342754305E-3</v>
      </c>
      <c r="K83" s="25">
        <v>1.9035362878361351E-3</v>
      </c>
      <c r="L83" s="22">
        <v>5.8160981727860672E-3</v>
      </c>
      <c r="M83" s="25">
        <v>4.6558031260392418E-5</v>
      </c>
      <c r="N83" s="19">
        <v>1.3692080586649771E-2</v>
      </c>
      <c r="O83" s="19">
        <v>8.8471807510624506E-4</v>
      </c>
      <c r="P83" s="16">
        <v>5.4642335200010351E-3</v>
      </c>
      <c r="Q83" s="19">
        <v>4.9240705650003998E-3</v>
      </c>
      <c r="R83" s="16">
        <v>9.0903897513532009E-3</v>
      </c>
      <c r="S83" s="25">
        <v>2.891792847160052E-3</v>
      </c>
      <c r="T83" s="22">
        <v>6.8805600485240589E-3</v>
      </c>
      <c r="U83" s="25">
        <v>1.9480519480519481E-3</v>
      </c>
      <c r="V83" s="22">
        <v>9.8304251658884239E-4</v>
      </c>
      <c r="W83" s="25">
        <v>3.0826293014630125E-3</v>
      </c>
    </row>
    <row r="84" spans="1:23" x14ac:dyDescent="0.2">
      <c r="A84" s="6" t="s">
        <v>275</v>
      </c>
      <c r="B84" s="19">
        <v>1.9170765244063673E-3</v>
      </c>
      <c r="C84" s="16">
        <v>2.4237555746378219E-4</v>
      </c>
      <c r="D84" s="19">
        <v>9.8774205009770832E-4</v>
      </c>
      <c r="E84" s="16">
        <v>6.5210746187548824E-4</v>
      </c>
      <c r="F84" s="19">
        <v>3.81455175202362E-5</v>
      </c>
      <c r="G84" s="16">
        <v>0</v>
      </c>
      <c r="H84" s="22">
        <v>1.5597773238397931E-3</v>
      </c>
      <c r="I84" s="25">
        <v>1.4166494951576344E-4</v>
      </c>
      <c r="J84" s="22">
        <v>1.1331822423676844E-4</v>
      </c>
      <c r="K84" s="25">
        <v>0</v>
      </c>
      <c r="L84" s="22">
        <v>5.963652460467746E-4</v>
      </c>
      <c r="M84" s="25">
        <v>2.0618556701030929E-4</v>
      </c>
      <c r="N84" s="19">
        <v>1.9124686982662276E-4</v>
      </c>
      <c r="O84" s="19">
        <v>5.6084806546913757E-4</v>
      </c>
      <c r="P84" s="16">
        <v>4.5912494665097451E-4</v>
      </c>
      <c r="Q84" s="19">
        <v>8.1400624516266777E-4</v>
      </c>
      <c r="R84" s="16">
        <v>2.8563675573772834E-4</v>
      </c>
      <c r="S84" s="25">
        <v>0</v>
      </c>
      <c r="T84" s="22">
        <v>5.1177719369187216E-4</v>
      </c>
      <c r="U84" s="25">
        <v>1.7825311942959001E-4</v>
      </c>
      <c r="V84" s="22">
        <v>7.5618655122218647E-5</v>
      </c>
      <c r="W84" s="25">
        <v>0</v>
      </c>
    </row>
    <row r="85" spans="1:23" x14ac:dyDescent="0.2">
      <c r="A85" s="6" t="s">
        <v>274</v>
      </c>
      <c r="B85" s="19">
        <v>0</v>
      </c>
      <c r="C85" s="16">
        <v>0</v>
      </c>
      <c r="D85" s="19">
        <v>4.2636347486232012E-5</v>
      </c>
      <c r="E85" s="16">
        <v>0</v>
      </c>
      <c r="F85" s="19">
        <v>0</v>
      </c>
      <c r="G85" s="16">
        <v>4.3048524296587115E-5</v>
      </c>
      <c r="H85" s="22">
        <v>0</v>
      </c>
      <c r="I85" s="25">
        <v>0</v>
      </c>
      <c r="J85" s="22">
        <v>0</v>
      </c>
      <c r="K85" s="25">
        <v>0</v>
      </c>
      <c r="L85" s="22">
        <v>0</v>
      </c>
      <c r="M85" s="25">
        <v>0</v>
      </c>
      <c r="N85" s="19">
        <v>8.9646970231229412E-5</v>
      </c>
      <c r="O85" s="19">
        <v>0</v>
      </c>
      <c r="P85" s="16">
        <v>0</v>
      </c>
      <c r="Q85" s="19">
        <v>1.7347674077237182E-4</v>
      </c>
      <c r="R85" s="16">
        <v>0</v>
      </c>
      <c r="S85" s="25">
        <v>0</v>
      </c>
      <c r="T85" s="22">
        <v>0</v>
      </c>
      <c r="U85" s="25">
        <v>0</v>
      </c>
      <c r="V85" s="22">
        <v>0</v>
      </c>
      <c r="W85" s="25">
        <v>0</v>
      </c>
    </row>
    <row r="86" spans="1:23" x14ac:dyDescent="0.2">
      <c r="A86" s="6" t="s">
        <v>273</v>
      </c>
      <c r="B86" s="19">
        <v>0</v>
      </c>
      <c r="C86" s="16">
        <v>0</v>
      </c>
      <c r="D86" s="19">
        <v>0</v>
      </c>
      <c r="E86" s="16">
        <v>0</v>
      </c>
      <c r="F86" s="19">
        <v>0</v>
      </c>
      <c r="G86" s="16">
        <v>0</v>
      </c>
      <c r="H86" s="22">
        <v>0</v>
      </c>
      <c r="I86" s="25">
        <v>0</v>
      </c>
      <c r="J86" s="22">
        <v>5.3326223170243967E-5</v>
      </c>
      <c r="K86" s="25">
        <v>3.3512962814016462E-5</v>
      </c>
      <c r="L86" s="22">
        <v>0</v>
      </c>
      <c r="M86" s="25">
        <v>3.9906883937479216E-5</v>
      </c>
      <c r="N86" s="19">
        <v>0</v>
      </c>
      <c r="O86" s="19">
        <v>0</v>
      </c>
      <c r="P86" s="16">
        <v>0</v>
      </c>
      <c r="Q86" s="19">
        <v>0</v>
      </c>
      <c r="R86" s="16">
        <v>0</v>
      </c>
      <c r="S86" s="25">
        <v>0</v>
      </c>
      <c r="T86" s="22">
        <v>6.9500606550748086E-5</v>
      </c>
      <c r="U86" s="25">
        <v>3.819709702062643E-5</v>
      </c>
      <c r="V86" s="22">
        <v>0</v>
      </c>
      <c r="W86" s="25">
        <v>9.0665567690088609E-5</v>
      </c>
    </row>
    <row r="87" spans="1:23" x14ac:dyDescent="0.2">
      <c r="A87" s="6" t="s">
        <v>272</v>
      </c>
      <c r="B87" s="19">
        <v>0</v>
      </c>
      <c r="C87" s="16">
        <v>0</v>
      </c>
      <c r="D87" s="19">
        <v>0</v>
      </c>
      <c r="E87" s="16">
        <v>0</v>
      </c>
      <c r="F87" s="19">
        <v>0</v>
      </c>
      <c r="G87" s="16">
        <v>0</v>
      </c>
      <c r="H87" s="22">
        <v>0</v>
      </c>
      <c r="I87" s="25">
        <v>0</v>
      </c>
      <c r="J87" s="22">
        <v>0</v>
      </c>
      <c r="K87" s="25">
        <v>0</v>
      </c>
      <c r="L87" s="22">
        <v>0</v>
      </c>
      <c r="M87" s="25">
        <v>0</v>
      </c>
      <c r="N87" s="19">
        <v>0</v>
      </c>
      <c r="O87" s="19">
        <v>0</v>
      </c>
      <c r="P87" s="16">
        <v>0</v>
      </c>
      <c r="Q87" s="19">
        <v>0</v>
      </c>
      <c r="R87" s="16">
        <v>0</v>
      </c>
      <c r="S87" s="25">
        <v>0</v>
      </c>
      <c r="T87" s="22">
        <v>1.8954710877476749E-5</v>
      </c>
      <c r="U87" s="25">
        <v>0</v>
      </c>
      <c r="V87" s="22">
        <v>0</v>
      </c>
      <c r="W87" s="25">
        <v>0</v>
      </c>
    </row>
    <row r="88" spans="1:23" x14ac:dyDescent="0.2">
      <c r="A88" s="6" t="s">
        <v>271</v>
      </c>
      <c r="B88" s="19">
        <v>9.717594796128826E-4</v>
      </c>
      <c r="C88" s="16">
        <v>1.038752389130495E-4</v>
      </c>
      <c r="D88" s="19">
        <v>6.1112098063599216E-4</v>
      </c>
      <c r="E88" s="16">
        <v>1.4264850728526305E-4</v>
      </c>
      <c r="F88" s="19">
        <v>2.2658437407020297E-3</v>
      </c>
      <c r="G88" s="16">
        <v>1.5497468746771361E-4</v>
      </c>
      <c r="H88" s="22">
        <v>6.4610023037715283E-4</v>
      </c>
      <c r="I88" s="25">
        <v>3.8635895322480941E-5</v>
      </c>
      <c r="J88" s="22">
        <v>7.3323556859085457E-5</v>
      </c>
      <c r="K88" s="25">
        <v>6.0323333065229637E-5</v>
      </c>
      <c r="L88" s="22">
        <v>7.9925239160907947E-5</v>
      </c>
      <c r="M88" s="25">
        <v>5.9860325906218827E-5</v>
      </c>
      <c r="N88" s="19">
        <v>4.1237606306365531E-4</v>
      </c>
      <c r="O88" s="19">
        <v>9.1631514921718246E-4</v>
      </c>
      <c r="P88" s="16">
        <v>5.8198936899419307E-5</v>
      </c>
      <c r="Q88" s="19">
        <v>6.4052950439029595E-4</v>
      </c>
      <c r="R88" s="16">
        <v>1.8566389122952342E-4</v>
      </c>
      <c r="S88" s="25">
        <v>1.9321555771670734E-5</v>
      </c>
      <c r="T88" s="22">
        <v>0</v>
      </c>
      <c r="U88" s="25">
        <v>4.4563279857397503E-5</v>
      </c>
      <c r="V88" s="22">
        <v>1.8904663780554662E-5</v>
      </c>
      <c r="W88" s="25">
        <v>0</v>
      </c>
    </row>
    <row r="89" spans="1:23" x14ac:dyDescent="0.2">
      <c r="A89" s="6" t="s">
        <v>270</v>
      </c>
      <c r="B89" s="19">
        <v>5.2884869638796342E-5</v>
      </c>
      <c r="C89" s="16">
        <v>0</v>
      </c>
      <c r="D89" s="19">
        <v>7.1060579143720029E-5</v>
      </c>
      <c r="E89" s="16">
        <v>0</v>
      </c>
      <c r="F89" s="19">
        <v>4.5774621024283436E-5</v>
      </c>
      <c r="G89" s="16">
        <v>8.6097048593174229E-5</v>
      </c>
      <c r="H89" s="22">
        <v>0</v>
      </c>
      <c r="I89" s="25">
        <v>0</v>
      </c>
      <c r="J89" s="22">
        <v>0</v>
      </c>
      <c r="K89" s="25">
        <v>0</v>
      </c>
      <c r="L89" s="22">
        <v>0</v>
      </c>
      <c r="M89" s="25">
        <v>3.9906883937479216E-5</v>
      </c>
      <c r="N89" s="19">
        <v>0</v>
      </c>
      <c r="O89" s="19">
        <v>0</v>
      </c>
      <c r="P89" s="16">
        <v>0</v>
      </c>
      <c r="Q89" s="19">
        <v>0</v>
      </c>
      <c r="R89" s="16">
        <v>2.1422756680329623E-5</v>
      </c>
      <c r="S89" s="25">
        <v>0</v>
      </c>
      <c r="T89" s="22">
        <v>6.3182369591589164E-5</v>
      </c>
      <c r="U89" s="25">
        <v>0</v>
      </c>
      <c r="V89" s="22">
        <v>0</v>
      </c>
      <c r="W89" s="25">
        <v>0</v>
      </c>
    </row>
    <row r="90" spans="1:23" x14ac:dyDescent="0.2">
      <c r="A90" s="6" t="s">
        <v>269</v>
      </c>
      <c r="B90" s="19">
        <v>0</v>
      </c>
      <c r="C90" s="16">
        <v>0</v>
      </c>
      <c r="D90" s="19">
        <v>0</v>
      </c>
      <c r="E90" s="16">
        <v>0</v>
      </c>
      <c r="F90" s="19">
        <v>0</v>
      </c>
      <c r="G90" s="16">
        <v>0</v>
      </c>
      <c r="H90" s="22">
        <v>0</v>
      </c>
      <c r="I90" s="25">
        <v>3.2196579435400785E-5</v>
      </c>
      <c r="J90" s="22">
        <v>0</v>
      </c>
      <c r="K90" s="25">
        <v>2.6810370251213168E-5</v>
      </c>
      <c r="L90" s="22">
        <v>0</v>
      </c>
      <c r="M90" s="25">
        <v>0</v>
      </c>
      <c r="N90" s="19">
        <v>0</v>
      </c>
      <c r="O90" s="19">
        <v>0</v>
      </c>
      <c r="P90" s="16">
        <v>0</v>
      </c>
      <c r="Q90" s="19">
        <v>0</v>
      </c>
      <c r="R90" s="16">
        <v>0</v>
      </c>
      <c r="S90" s="25">
        <v>6.4405185905569114E-5</v>
      </c>
      <c r="T90" s="22">
        <v>0</v>
      </c>
      <c r="U90" s="25">
        <v>1.9098548510313215E-5</v>
      </c>
      <c r="V90" s="22">
        <v>0</v>
      </c>
      <c r="W90" s="25">
        <v>1.6484648670925202E-4</v>
      </c>
    </row>
    <row r="91" spans="1:23" x14ac:dyDescent="0.2">
      <c r="A91" s="6" t="s">
        <v>268</v>
      </c>
      <c r="B91" s="19">
        <v>0</v>
      </c>
      <c r="C91" s="16">
        <v>0</v>
      </c>
      <c r="D91" s="19">
        <v>0</v>
      </c>
      <c r="E91" s="16">
        <v>0</v>
      </c>
      <c r="F91" s="19">
        <v>0</v>
      </c>
      <c r="G91" s="16">
        <v>0</v>
      </c>
      <c r="H91" s="22">
        <v>0</v>
      </c>
      <c r="I91" s="25">
        <v>0</v>
      </c>
      <c r="J91" s="22">
        <v>0</v>
      </c>
      <c r="K91" s="25">
        <v>0</v>
      </c>
      <c r="L91" s="22">
        <v>0</v>
      </c>
      <c r="M91" s="25">
        <v>0</v>
      </c>
      <c r="N91" s="19">
        <v>0</v>
      </c>
      <c r="O91" s="19">
        <v>0</v>
      </c>
      <c r="P91" s="16">
        <v>0</v>
      </c>
      <c r="Q91" s="19">
        <v>0</v>
      </c>
      <c r="R91" s="16">
        <v>0</v>
      </c>
      <c r="S91" s="25">
        <v>0</v>
      </c>
      <c r="T91" s="22">
        <v>2.5272947836635664E-5</v>
      </c>
      <c r="U91" s="25">
        <v>0</v>
      </c>
      <c r="V91" s="22">
        <v>0</v>
      </c>
      <c r="W91" s="25">
        <v>0</v>
      </c>
    </row>
    <row r="92" spans="1:23" x14ac:dyDescent="0.2">
      <c r="A92" s="6" t="s">
        <v>267</v>
      </c>
      <c r="B92" s="19">
        <v>2.6442434819398171E-5</v>
      </c>
      <c r="C92" s="16">
        <v>0</v>
      </c>
      <c r="D92" s="19">
        <v>0</v>
      </c>
      <c r="E92" s="16">
        <v>0</v>
      </c>
      <c r="F92" s="19">
        <v>0</v>
      </c>
      <c r="G92" s="16">
        <v>1.0331645831180907E-4</v>
      </c>
      <c r="H92" s="22">
        <v>5.8736384579741169E-5</v>
      </c>
      <c r="I92" s="25">
        <v>0</v>
      </c>
      <c r="J92" s="22">
        <v>0</v>
      </c>
      <c r="K92" s="25">
        <v>0</v>
      </c>
      <c r="L92" s="22">
        <v>0</v>
      </c>
      <c r="M92" s="25">
        <v>0</v>
      </c>
      <c r="N92" s="19">
        <v>0</v>
      </c>
      <c r="O92" s="19">
        <v>0</v>
      </c>
      <c r="P92" s="16">
        <v>0</v>
      </c>
      <c r="Q92" s="19">
        <v>5.3377458699191329E-5</v>
      </c>
      <c r="R92" s="16">
        <v>2.1422756680329623E-5</v>
      </c>
      <c r="S92" s="25">
        <v>0</v>
      </c>
      <c r="T92" s="22">
        <v>0</v>
      </c>
      <c r="U92" s="25">
        <v>5.0929462694168576E-5</v>
      </c>
      <c r="V92" s="22">
        <v>0</v>
      </c>
      <c r="W92" s="25">
        <v>0</v>
      </c>
    </row>
    <row r="93" spans="1:23" x14ac:dyDescent="0.2">
      <c r="A93" s="6" t="s">
        <v>266</v>
      </c>
      <c r="B93" s="19">
        <v>1.5865460891638903E-4</v>
      </c>
      <c r="C93" s="16">
        <v>0</v>
      </c>
      <c r="D93" s="19">
        <v>0</v>
      </c>
      <c r="E93" s="16">
        <v>4.0756716367218015E-5</v>
      </c>
      <c r="F93" s="19">
        <v>0</v>
      </c>
      <c r="G93" s="16">
        <v>1.2053586803044392E-4</v>
      </c>
      <c r="H93" s="22">
        <v>2.0884047850574638E-4</v>
      </c>
      <c r="I93" s="25">
        <v>3.8635895322480941E-5</v>
      </c>
      <c r="J93" s="22">
        <v>9.9986668444207444E-5</v>
      </c>
      <c r="K93" s="25">
        <v>5.3620740502426337E-5</v>
      </c>
      <c r="L93" s="22">
        <v>1.8444285960209527E-5</v>
      </c>
      <c r="M93" s="25">
        <v>9.3116062520784835E-5</v>
      </c>
      <c r="N93" s="19">
        <v>0</v>
      </c>
      <c r="O93" s="19">
        <v>2.8437366699843596E-4</v>
      </c>
      <c r="P93" s="16">
        <v>7.7598582532559067E-5</v>
      </c>
      <c r="Q93" s="19">
        <v>0</v>
      </c>
      <c r="R93" s="16">
        <v>1.5710021565575058E-4</v>
      </c>
      <c r="S93" s="25">
        <v>4.5083630133898384E-5</v>
      </c>
      <c r="T93" s="22">
        <v>5.6864132632430249E-5</v>
      </c>
      <c r="U93" s="25">
        <v>5.7295645530939642E-5</v>
      </c>
      <c r="V93" s="22">
        <v>1.8904663780554662E-5</v>
      </c>
      <c r="W93" s="25">
        <v>1.3187718936740161E-4</v>
      </c>
    </row>
    <row r="94" spans="1:23" x14ac:dyDescent="0.2">
      <c r="A94" s="6" t="s">
        <v>265</v>
      </c>
      <c r="B94" s="19">
        <v>6.8089269659950278E-3</v>
      </c>
      <c r="C94" s="16">
        <v>5.6854380765075773E-3</v>
      </c>
      <c r="D94" s="19">
        <v>4.3915437910818974E-3</v>
      </c>
      <c r="E94" s="16">
        <v>1.8883945250144345E-3</v>
      </c>
      <c r="F94" s="19">
        <v>4.6003494129404857E-3</v>
      </c>
      <c r="G94" s="16">
        <v>3.2716878465406211E-3</v>
      </c>
      <c r="H94" s="22">
        <v>1.8991431014116311E-3</v>
      </c>
      <c r="I94" s="25">
        <v>6.4199979394189179E-3</v>
      </c>
      <c r="J94" s="22">
        <v>5.3192907612318362E-3</v>
      </c>
      <c r="K94" s="25">
        <v>3.2440548003967932E-3</v>
      </c>
      <c r="L94" s="22">
        <v>1.0599316331800406E-2</v>
      </c>
      <c r="M94" s="25">
        <v>1.0841370136348517E-2</v>
      </c>
      <c r="N94" s="19">
        <v>5.3071006376887815E-3</v>
      </c>
      <c r="O94" s="19">
        <v>1.8563281040175678E-3</v>
      </c>
      <c r="P94" s="16">
        <v>2.3020912817992519E-3</v>
      </c>
      <c r="Q94" s="19">
        <v>7.005791454268862E-3</v>
      </c>
      <c r="R94" s="16">
        <v>3.8918007969265481E-3</v>
      </c>
      <c r="S94" s="25">
        <v>3.0785678862862037E-3</v>
      </c>
      <c r="T94" s="22">
        <v>1.5985139506672054E-2</v>
      </c>
      <c r="U94" s="25">
        <v>7.212885154061625E-3</v>
      </c>
      <c r="V94" s="22">
        <v>3.4658550264350216E-3</v>
      </c>
      <c r="W94" s="25">
        <v>5.7696270348238212E-3</v>
      </c>
    </row>
    <row r="95" spans="1:23" x14ac:dyDescent="0.2">
      <c r="A95" s="6" t="s">
        <v>264</v>
      </c>
      <c r="B95" s="19">
        <v>3.6027817441430009E-3</v>
      </c>
      <c r="C95" s="16">
        <v>2.1709924932827345E-2</v>
      </c>
      <c r="D95" s="19">
        <v>5.3721797832652334E-3</v>
      </c>
      <c r="E95" s="16">
        <v>2.0480249974527048E-2</v>
      </c>
      <c r="F95" s="19">
        <v>1.1474171670087048E-2</v>
      </c>
      <c r="G95" s="16">
        <v>4.735337672624582E-3</v>
      </c>
      <c r="H95" s="22">
        <v>2.4897700796856954E-2</v>
      </c>
      <c r="I95" s="25">
        <v>4.5229754790851021E-2</v>
      </c>
      <c r="J95" s="22">
        <v>2.8409545393947466E-2</v>
      </c>
      <c r="K95" s="25">
        <v>3.8144454274913517E-2</v>
      </c>
      <c r="L95" s="22">
        <v>9.9906548951134936E-3</v>
      </c>
      <c r="M95" s="25">
        <v>3.8669770535417355E-2</v>
      </c>
      <c r="N95" s="19">
        <v>4.972418615492193E-3</v>
      </c>
      <c r="O95" s="19">
        <v>3.4519803466199032E-3</v>
      </c>
      <c r="P95" s="16">
        <v>9.2600975155520526E-3</v>
      </c>
      <c r="Q95" s="19">
        <v>4.0433424964637435E-3</v>
      </c>
      <c r="R95" s="16">
        <v>3.413359231065853E-3</v>
      </c>
      <c r="S95" s="25">
        <v>5.627081092569574E-2</v>
      </c>
      <c r="T95" s="22">
        <v>6.0086433481601302E-3</v>
      </c>
      <c r="U95" s="25">
        <v>2.377132671250318E-2</v>
      </c>
      <c r="V95" s="22">
        <v>6.0557939643710097E-2</v>
      </c>
      <c r="W95" s="25">
        <v>5.2915722233669912E-3</v>
      </c>
    </row>
    <row r="96" spans="1:23" x14ac:dyDescent="0.2">
      <c r="A96" s="6" t="s">
        <v>263</v>
      </c>
      <c r="B96" s="19">
        <v>4.6935321804431746E-4</v>
      </c>
      <c r="C96" s="16">
        <v>4.15500955652198E-5</v>
      </c>
      <c r="D96" s="19">
        <v>9.664238763545923E-4</v>
      </c>
      <c r="E96" s="16">
        <v>2.1057636789729309E-4</v>
      </c>
      <c r="F96" s="19">
        <v>2.5176041563355889E-4</v>
      </c>
      <c r="G96" s="16">
        <v>6.026793401522196E-4</v>
      </c>
      <c r="H96" s="22">
        <v>3.3936577757183781E-4</v>
      </c>
      <c r="I96" s="25">
        <v>0</v>
      </c>
      <c r="J96" s="22">
        <v>4.5327289694707375E-4</v>
      </c>
      <c r="K96" s="25">
        <v>1.6086222150727902E-4</v>
      </c>
      <c r="L96" s="22">
        <v>7.9925239160907947E-5</v>
      </c>
      <c r="M96" s="25">
        <v>1.3302294645826405E-5</v>
      </c>
      <c r="N96" s="19">
        <v>0</v>
      </c>
      <c r="O96" s="19">
        <v>8.6891953805077649E-5</v>
      </c>
      <c r="P96" s="16">
        <v>1.4226406797635831E-4</v>
      </c>
      <c r="Q96" s="19">
        <v>4.2701966959353063E-4</v>
      </c>
      <c r="R96" s="16">
        <v>5.6413259258201347E-4</v>
      </c>
      <c r="S96" s="25">
        <v>3.8643111543341467E-5</v>
      </c>
      <c r="T96" s="22">
        <v>7.5818843509906997E-4</v>
      </c>
      <c r="U96" s="25">
        <v>3.1830914183855358E-5</v>
      </c>
      <c r="V96" s="22">
        <v>5.2933058585553059E-4</v>
      </c>
      <c r="W96" s="25">
        <v>1.6484648670925202E-5</v>
      </c>
    </row>
    <row r="97" spans="1:23" x14ac:dyDescent="0.2">
      <c r="A97" s="6" t="s">
        <v>262</v>
      </c>
      <c r="B97" s="19">
        <v>9.2548521867893594E-5</v>
      </c>
      <c r="C97" s="16">
        <v>3.0470070081161185E-4</v>
      </c>
      <c r="D97" s="19">
        <v>2.9134837448925208E-4</v>
      </c>
      <c r="E97" s="16">
        <v>2.1736915395849607E-4</v>
      </c>
      <c r="F97" s="19">
        <v>6.1032828032377915E-5</v>
      </c>
      <c r="G97" s="16">
        <v>4.3048524296587115E-5</v>
      </c>
      <c r="H97" s="22">
        <v>4.5683854673132015E-4</v>
      </c>
      <c r="I97" s="25">
        <v>1.5003606016896767E-3</v>
      </c>
      <c r="J97" s="22">
        <v>3.0195973870150647E-3</v>
      </c>
      <c r="K97" s="25">
        <v>2.4129333226091854E-3</v>
      </c>
      <c r="L97" s="22">
        <v>7.4391953372845098E-4</v>
      </c>
      <c r="M97" s="25">
        <v>7.3162620552045231E-4</v>
      </c>
      <c r="N97" s="19">
        <v>0</v>
      </c>
      <c r="O97" s="19">
        <v>0</v>
      </c>
      <c r="P97" s="16">
        <v>7.1132033988179143E-5</v>
      </c>
      <c r="Q97" s="19">
        <v>1.8682110544716965E-4</v>
      </c>
      <c r="R97" s="16">
        <v>7.1409188934432085E-5</v>
      </c>
      <c r="S97" s="25">
        <v>2.267062543876033E-3</v>
      </c>
      <c r="T97" s="22">
        <v>1.4658309745248684E-3</v>
      </c>
      <c r="U97" s="25">
        <v>2.145403615991851E-3</v>
      </c>
      <c r="V97" s="22">
        <v>2.5269233920008063E-3</v>
      </c>
      <c r="W97" s="25">
        <v>3.1073562744694007E-3</v>
      </c>
    </row>
    <row r="98" spans="1:23" x14ac:dyDescent="0.2">
      <c r="A98" s="6" t="s">
        <v>261</v>
      </c>
      <c r="B98" s="19">
        <v>0</v>
      </c>
      <c r="C98" s="16">
        <v>0</v>
      </c>
      <c r="D98" s="19">
        <v>1.4212115828744005E-5</v>
      </c>
      <c r="E98" s="16">
        <v>0</v>
      </c>
      <c r="F98" s="19">
        <v>0</v>
      </c>
      <c r="G98" s="16">
        <v>0</v>
      </c>
      <c r="H98" s="22">
        <v>0</v>
      </c>
      <c r="I98" s="25">
        <v>0</v>
      </c>
      <c r="J98" s="22">
        <v>0</v>
      </c>
      <c r="K98" s="25">
        <v>1.2064666613045926E-4</v>
      </c>
      <c r="L98" s="22">
        <v>0</v>
      </c>
      <c r="M98" s="25">
        <v>0</v>
      </c>
      <c r="N98" s="19">
        <v>0</v>
      </c>
      <c r="O98" s="19">
        <v>0</v>
      </c>
      <c r="P98" s="16">
        <v>6.4665485443799228E-6</v>
      </c>
      <c r="Q98" s="19">
        <v>0</v>
      </c>
      <c r="R98" s="16">
        <v>0</v>
      </c>
      <c r="S98" s="25">
        <v>1.674534833544797E-4</v>
      </c>
      <c r="T98" s="22">
        <v>0</v>
      </c>
      <c r="U98" s="25">
        <v>0</v>
      </c>
      <c r="V98" s="22">
        <v>0</v>
      </c>
      <c r="W98" s="25">
        <v>5.7696270348238206E-5</v>
      </c>
    </row>
    <row r="99" spans="1:23" x14ac:dyDescent="0.2">
      <c r="A99" s="6" t="s">
        <v>260</v>
      </c>
      <c r="B99" s="19">
        <v>1.1171928711195725E-3</v>
      </c>
      <c r="C99" s="16">
        <v>5.5469377579568423E-3</v>
      </c>
      <c r="D99" s="19">
        <v>8.6054361343044956E-3</v>
      </c>
      <c r="E99" s="16">
        <v>7.0848758618347312E-3</v>
      </c>
      <c r="F99" s="19">
        <v>8.2928355088993499E-3</v>
      </c>
      <c r="G99" s="16">
        <v>2.4537658849054654E-3</v>
      </c>
      <c r="H99" s="22">
        <v>2.5413275728168011E-2</v>
      </c>
      <c r="I99" s="25">
        <v>5.7503090871625796E-3</v>
      </c>
      <c r="J99" s="22">
        <v>1.2205039328089586E-2</v>
      </c>
      <c r="K99" s="25">
        <v>5.3620740502426344E-3</v>
      </c>
      <c r="L99" s="22">
        <v>8.4105943978555441E-3</v>
      </c>
      <c r="M99" s="25">
        <v>1.5543731293648151E-2</v>
      </c>
      <c r="N99" s="19">
        <v>9.7834726845681674E-3</v>
      </c>
      <c r="O99" s="19">
        <v>5.2688121079988012E-3</v>
      </c>
      <c r="P99" s="16">
        <v>1.1051331462345283E-2</v>
      </c>
      <c r="Q99" s="19">
        <v>5.2576796818703461E-3</v>
      </c>
      <c r="R99" s="16">
        <v>5.419957440123393E-3</v>
      </c>
      <c r="S99" s="25">
        <v>6.6015315553208343E-3</v>
      </c>
      <c r="T99" s="22">
        <v>3.8288515972503033E-3</v>
      </c>
      <c r="U99" s="25">
        <v>2.8456837280366699E-3</v>
      </c>
      <c r="V99" s="22">
        <v>1.6497469925830708E-2</v>
      </c>
      <c r="W99" s="25">
        <v>4.6981248712136821E-4</v>
      </c>
    </row>
    <row r="100" spans="1:23" x14ac:dyDescent="0.2">
      <c r="A100" s="6" t="s">
        <v>259</v>
      </c>
      <c r="B100" s="19">
        <v>2.6442434819398171E-5</v>
      </c>
      <c r="C100" s="16">
        <v>0</v>
      </c>
      <c r="D100" s="19">
        <v>0</v>
      </c>
      <c r="E100" s="16">
        <v>0</v>
      </c>
      <c r="F100" s="19">
        <v>0</v>
      </c>
      <c r="G100" s="16">
        <v>0</v>
      </c>
      <c r="H100" s="22">
        <v>5.0252240140445225E-4</v>
      </c>
      <c r="I100" s="25">
        <v>5.7309911395013392E-4</v>
      </c>
      <c r="J100" s="22">
        <v>0</v>
      </c>
      <c r="K100" s="25">
        <v>0</v>
      </c>
      <c r="L100" s="22">
        <v>0</v>
      </c>
      <c r="M100" s="25">
        <v>0</v>
      </c>
      <c r="N100" s="19">
        <v>0</v>
      </c>
      <c r="O100" s="19">
        <v>0</v>
      </c>
      <c r="P100" s="16">
        <v>0</v>
      </c>
      <c r="Q100" s="19">
        <v>2.6688729349595664E-5</v>
      </c>
      <c r="R100" s="16">
        <v>0</v>
      </c>
      <c r="S100" s="25">
        <v>1.1592933463002441E-4</v>
      </c>
      <c r="T100" s="22">
        <v>1.2636473918317833E-4</v>
      </c>
      <c r="U100" s="25">
        <v>0</v>
      </c>
      <c r="V100" s="22">
        <v>0</v>
      </c>
      <c r="W100" s="25">
        <v>0</v>
      </c>
    </row>
    <row r="101" spans="1:23" x14ac:dyDescent="0.2">
      <c r="A101" s="6" t="s">
        <v>258</v>
      </c>
      <c r="B101" s="19">
        <v>5.0240626156856515E-4</v>
      </c>
      <c r="C101" s="16">
        <v>2.7007562117392864E-4</v>
      </c>
      <c r="D101" s="19">
        <v>8.5272694972464023E-5</v>
      </c>
      <c r="E101" s="16">
        <v>9.5099004856842042E-4</v>
      </c>
      <c r="F101" s="19">
        <v>1.3961259412406449E-3</v>
      </c>
      <c r="G101" s="16">
        <v>2.6087405723731788E-3</v>
      </c>
      <c r="H101" s="22">
        <v>1.3183055205675245E-3</v>
      </c>
      <c r="I101" s="25">
        <v>9.0150422419122181E-4</v>
      </c>
      <c r="J101" s="22">
        <v>1.6331155845887211E-3</v>
      </c>
      <c r="K101" s="25">
        <v>2.8821148020054157E-4</v>
      </c>
      <c r="L101" s="22">
        <v>2.0903524088237463E-3</v>
      </c>
      <c r="M101" s="25">
        <v>3.4253408713002986E-3</v>
      </c>
      <c r="N101" s="19">
        <v>8.6061091421980233E-4</v>
      </c>
      <c r="O101" s="19">
        <v>3.2150022907878732E-3</v>
      </c>
      <c r="P101" s="16">
        <v>5.625897233610533E-4</v>
      </c>
      <c r="Q101" s="19">
        <v>8.273506098374656E-4</v>
      </c>
      <c r="R101" s="16">
        <v>1.1496879418443563E-3</v>
      </c>
      <c r="S101" s="25">
        <v>6.1828978469346369E-4</v>
      </c>
      <c r="T101" s="22">
        <v>4.9155883542256361E-3</v>
      </c>
      <c r="U101" s="25">
        <v>2.6674306086070794E-3</v>
      </c>
      <c r="V101" s="22">
        <v>1.6321026397212194E-3</v>
      </c>
      <c r="W101" s="25">
        <v>9.890789202555121E-5</v>
      </c>
    </row>
    <row r="102" spans="1:23" x14ac:dyDescent="0.2">
      <c r="A102" s="6" t="s">
        <v>257</v>
      </c>
      <c r="B102" s="19">
        <v>1.3221217409699086E-5</v>
      </c>
      <c r="C102" s="16">
        <v>0</v>
      </c>
      <c r="D102" s="19">
        <v>0</v>
      </c>
      <c r="E102" s="16">
        <v>0</v>
      </c>
      <c r="F102" s="19">
        <v>0</v>
      </c>
      <c r="G102" s="16">
        <v>0</v>
      </c>
      <c r="H102" s="22">
        <v>1.3052529906609149E-5</v>
      </c>
      <c r="I102" s="25">
        <v>0</v>
      </c>
      <c r="J102" s="22">
        <v>0</v>
      </c>
      <c r="K102" s="25">
        <v>0</v>
      </c>
      <c r="L102" s="22">
        <v>0</v>
      </c>
      <c r="M102" s="25">
        <v>0</v>
      </c>
      <c r="N102" s="19">
        <v>0</v>
      </c>
      <c r="O102" s="19">
        <v>0</v>
      </c>
      <c r="P102" s="16">
        <v>0</v>
      </c>
      <c r="Q102" s="19">
        <v>0</v>
      </c>
      <c r="R102" s="16">
        <v>0</v>
      </c>
      <c r="S102" s="25">
        <v>0</v>
      </c>
      <c r="T102" s="22">
        <v>0</v>
      </c>
      <c r="U102" s="25">
        <v>0</v>
      </c>
      <c r="V102" s="22">
        <v>0</v>
      </c>
      <c r="W102" s="25">
        <v>0</v>
      </c>
    </row>
    <row r="103" spans="1:23" x14ac:dyDescent="0.2">
      <c r="A103" s="6" t="s">
        <v>256</v>
      </c>
      <c r="B103" s="19">
        <v>1.1674334972764292E-2</v>
      </c>
      <c r="C103" s="16">
        <v>5.6715880446525022E-3</v>
      </c>
      <c r="D103" s="19">
        <v>2.4373778646295968E-3</v>
      </c>
      <c r="E103" s="16">
        <v>2.1804843256461636E-3</v>
      </c>
      <c r="F103" s="19">
        <v>1.5944826323458731E-3</v>
      </c>
      <c r="G103" s="16">
        <v>8.6958019079105971E-4</v>
      </c>
      <c r="H103" s="22">
        <v>7.6161512005064385E-3</v>
      </c>
      <c r="I103" s="25">
        <v>1.853235112301669E-2</v>
      </c>
      <c r="J103" s="22">
        <v>4.8993467537661647E-3</v>
      </c>
      <c r="K103" s="25">
        <v>7.59403737365613E-3</v>
      </c>
      <c r="L103" s="22">
        <v>1.0316503947077196E-2</v>
      </c>
      <c r="M103" s="25">
        <v>1.3714665779847023E-2</v>
      </c>
      <c r="N103" s="19">
        <v>5.8210766003478302E-3</v>
      </c>
      <c r="O103" s="19">
        <v>2.7252476420683448E-3</v>
      </c>
      <c r="P103" s="16">
        <v>5.108573350060139E-4</v>
      </c>
      <c r="Q103" s="19">
        <v>1.2944033734553898E-3</v>
      </c>
      <c r="R103" s="16">
        <v>1.1282651851640269E-3</v>
      </c>
      <c r="S103" s="25">
        <v>9.4804433652997747E-3</v>
      </c>
      <c r="T103" s="22">
        <v>1.52711787302871E-2</v>
      </c>
      <c r="U103" s="25">
        <v>1.8964858670741019E-2</v>
      </c>
      <c r="V103" s="22">
        <v>6.1944281654284115E-3</v>
      </c>
      <c r="W103" s="25">
        <v>2.9589944364310735E-3</v>
      </c>
    </row>
    <row r="104" spans="1:23" x14ac:dyDescent="0.2">
      <c r="A104" s="6" t="s">
        <v>255</v>
      </c>
      <c r="B104" s="19">
        <v>0</v>
      </c>
      <c r="C104" s="16">
        <v>0</v>
      </c>
      <c r="D104" s="19">
        <v>0</v>
      </c>
      <c r="E104" s="16">
        <v>0</v>
      </c>
      <c r="F104" s="19">
        <v>0</v>
      </c>
      <c r="G104" s="16">
        <v>0</v>
      </c>
      <c r="H104" s="22">
        <v>0</v>
      </c>
      <c r="I104" s="25">
        <v>0</v>
      </c>
      <c r="J104" s="22">
        <v>0</v>
      </c>
      <c r="K104" s="25">
        <v>8.7133703316442799E-5</v>
      </c>
      <c r="L104" s="22">
        <v>0</v>
      </c>
      <c r="M104" s="25">
        <v>0</v>
      </c>
      <c r="N104" s="19">
        <v>0</v>
      </c>
      <c r="O104" s="19">
        <v>0</v>
      </c>
      <c r="P104" s="16">
        <v>0</v>
      </c>
      <c r="Q104" s="19">
        <v>0</v>
      </c>
      <c r="R104" s="16">
        <v>0</v>
      </c>
      <c r="S104" s="25">
        <v>0</v>
      </c>
      <c r="T104" s="22">
        <v>0</v>
      </c>
      <c r="U104" s="25">
        <v>8.9126559714795006E-5</v>
      </c>
      <c r="V104" s="22">
        <v>0</v>
      </c>
      <c r="W104" s="25">
        <v>0</v>
      </c>
    </row>
    <row r="105" spans="1:23" x14ac:dyDescent="0.2">
      <c r="A105" s="6" t="s">
        <v>254</v>
      </c>
      <c r="B105" s="19">
        <v>4.6274260933946797E-5</v>
      </c>
      <c r="C105" s="16">
        <v>0</v>
      </c>
      <c r="D105" s="19">
        <v>2.2028779534553206E-4</v>
      </c>
      <c r="E105" s="16">
        <v>1.3585572122406004E-5</v>
      </c>
      <c r="F105" s="19">
        <v>0</v>
      </c>
      <c r="G105" s="16">
        <v>0</v>
      </c>
      <c r="H105" s="22">
        <v>0</v>
      </c>
      <c r="I105" s="25">
        <v>0</v>
      </c>
      <c r="J105" s="22">
        <v>0</v>
      </c>
      <c r="K105" s="25">
        <v>0</v>
      </c>
      <c r="L105" s="22">
        <v>1.4140619236160636E-4</v>
      </c>
      <c r="M105" s="25">
        <v>5.9860325906218827E-5</v>
      </c>
      <c r="N105" s="19">
        <v>0</v>
      </c>
      <c r="O105" s="19">
        <v>0</v>
      </c>
      <c r="P105" s="16">
        <v>9.6998228165698841E-5</v>
      </c>
      <c r="Q105" s="19">
        <v>0</v>
      </c>
      <c r="R105" s="16">
        <v>0</v>
      </c>
      <c r="S105" s="25">
        <v>0</v>
      </c>
      <c r="T105" s="22">
        <v>4.4227658714112412E-5</v>
      </c>
      <c r="U105" s="25">
        <v>0</v>
      </c>
      <c r="V105" s="22">
        <v>0</v>
      </c>
      <c r="W105" s="25">
        <v>0</v>
      </c>
    </row>
    <row r="106" spans="1:23" x14ac:dyDescent="0.2">
      <c r="A106" s="6" t="s">
        <v>253</v>
      </c>
      <c r="B106" s="19">
        <v>2.6442434819398171E-5</v>
      </c>
      <c r="C106" s="16">
        <v>0</v>
      </c>
      <c r="D106" s="19">
        <v>7.8166637058092026E-5</v>
      </c>
      <c r="E106" s="16">
        <v>0</v>
      </c>
      <c r="F106" s="19">
        <v>1.6021117358499203E-4</v>
      </c>
      <c r="G106" s="16">
        <v>2.4107173606088784E-4</v>
      </c>
      <c r="H106" s="22">
        <v>1.9578794859913723E-4</v>
      </c>
      <c r="I106" s="25">
        <v>4.5075211209561096E-5</v>
      </c>
      <c r="J106" s="22">
        <v>3.0662578322890278E-4</v>
      </c>
      <c r="K106" s="25">
        <v>0</v>
      </c>
      <c r="L106" s="22">
        <v>0</v>
      </c>
      <c r="M106" s="25">
        <v>1.0641835716661124E-4</v>
      </c>
      <c r="N106" s="19">
        <v>7.7694040867065501E-5</v>
      </c>
      <c r="O106" s="19">
        <v>0</v>
      </c>
      <c r="P106" s="16">
        <v>0</v>
      </c>
      <c r="Q106" s="19">
        <v>1.3344364674797832E-5</v>
      </c>
      <c r="R106" s="16">
        <v>1.2853654008197773E-4</v>
      </c>
      <c r="S106" s="25">
        <v>1.1592933463002441E-4</v>
      </c>
      <c r="T106" s="22">
        <v>1.7691063485644965E-4</v>
      </c>
      <c r="U106" s="25">
        <v>8.9126559714795006E-5</v>
      </c>
      <c r="V106" s="22">
        <v>1.3863420105740087E-4</v>
      </c>
      <c r="W106" s="25">
        <v>0</v>
      </c>
    </row>
    <row r="107" spans="1:23" x14ac:dyDescent="0.2">
      <c r="A107" s="6" t="s">
        <v>252</v>
      </c>
      <c r="B107" s="19">
        <v>1.3948384367232531E-3</v>
      </c>
      <c r="C107" s="16">
        <v>9.0717708650729883E-4</v>
      </c>
      <c r="D107" s="19">
        <v>1.2719843666725882E-3</v>
      </c>
      <c r="E107" s="16">
        <v>1.1615664164657139E-3</v>
      </c>
      <c r="F107" s="19">
        <v>1.8386139444753848E-3</v>
      </c>
      <c r="G107" s="16">
        <v>1.0159451733994559E-3</v>
      </c>
      <c r="H107" s="22">
        <v>1.540198528979879E-3</v>
      </c>
      <c r="I107" s="25">
        <v>2.0605810838656503E-4</v>
      </c>
      <c r="J107" s="22">
        <v>7.1990401279829362E-4</v>
      </c>
      <c r="K107" s="25">
        <v>1.742674066328856E-4</v>
      </c>
      <c r="L107" s="22">
        <v>1.1066571576125719E-3</v>
      </c>
      <c r="M107" s="25">
        <v>1.1040904556035916E-3</v>
      </c>
      <c r="N107" s="19">
        <v>1.0040460665897693E-3</v>
      </c>
      <c r="O107" s="19">
        <v>2.3223849471538942E-3</v>
      </c>
      <c r="P107" s="16">
        <v>1.4873061652073828E-3</v>
      </c>
      <c r="Q107" s="19">
        <v>1.5612906669513463E-3</v>
      </c>
      <c r="R107" s="16">
        <v>2.3993487481969171E-3</v>
      </c>
      <c r="S107" s="25">
        <v>1.545724461733659E-4</v>
      </c>
      <c r="T107" s="22">
        <v>1.1436008896077638E-3</v>
      </c>
      <c r="U107" s="25">
        <v>4.965622612681436E-4</v>
      </c>
      <c r="V107" s="22">
        <v>4.1590260317220256E-4</v>
      </c>
      <c r="W107" s="25">
        <v>9.0665567690088609E-5</v>
      </c>
    </row>
    <row r="108" spans="1:23" x14ac:dyDescent="0.2">
      <c r="A108" s="6" t="s">
        <v>251</v>
      </c>
      <c r="B108" s="19">
        <v>7.9327304458194517E-5</v>
      </c>
      <c r="C108" s="16">
        <v>3.4625079637683168E-5</v>
      </c>
      <c r="D108" s="19">
        <v>2.1318173743116006E-5</v>
      </c>
      <c r="E108" s="16">
        <v>0</v>
      </c>
      <c r="F108" s="19">
        <v>2.2887310512141718E-5</v>
      </c>
      <c r="G108" s="16">
        <v>1.119261631711265E-4</v>
      </c>
      <c r="H108" s="22">
        <v>3.2631324766522872E-5</v>
      </c>
      <c r="I108" s="25">
        <v>0</v>
      </c>
      <c r="J108" s="22">
        <v>0</v>
      </c>
      <c r="K108" s="25">
        <v>0</v>
      </c>
      <c r="L108" s="22">
        <v>1.0451762044118732E-4</v>
      </c>
      <c r="M108" s="25">
        <v>2.660458929165281E-5</v>
      </c>
      <c r="N108" s="19">
        <v>1.7929394046245883E-5</v>
      </c>
      <c r="O108" s="19">
        <v>0</v>
      </c>
      <c r="P108" s="16">
        <v>2.3279574759767723E-4</v>
      </c>
      <c r="Q108" s="19">
        <v>0</v>
      </c>
      <c r="R108" s="16">
        <v>7.1409188934432085E-5</v>
      </c>
      <c r="S108" s="25">
        <v>1.9321555771670734E-5</v>
      </c>
      <c r="T108" s="22">
        <v>8.8455317428224825E-5</v>
      </c>
      <c r="U108" s="25">
        <v>5.7295645530939642E-5</v>
      </c>
      <c r="V108" s="22">
        <v>0</v>
      </c>
      <c r="W108" s="25">
        <v>5.7696270348238206E-5</v>
      </c>
    </row>
    <row r="109" spans="1:23" x14ac:dyDescent="0.2">
      <c r="A109" s="6" t="s">
        <v>250</v>
      </c>
      <c r="B109" s="19">
        <v>5.9495478343645881E-5</v>
      </c>
      <c r="C109" s="16">
        <v>0</v>
      </c>
      <c r="D109" s="19">
        <v>6.3954521229348018E-5</v>
      </c>
      <c r="E109" s="16">
        <v>2.173691539584961E-4</v>
      </c>
      <c r="F109" s="19">
        <v>5.6455365929949572E-4</v>
      </c>
      <c r="G109" s="16">
        <v>3.9604642352860145E-4</v>
      </c>
      <c r="H109" s="22">
        <v>1.0442023925287319E-4</v>
      </c>
      <c r="I109" s="25">
        <v>1.2878631774160313E-5</v>
      </c>
      <c r="J109" s="22">
        <v>4.7327023063591523E-4</v>
      </c>
      <c r="K109" s="25">
        <v>2.7480629507493497E-4</v>
      </c>
      <c r="L109" s="22">
        <v>2.8896048004328258E-4</v>
      </c>
      <c r="M109" s="25">
        <v>4.2567342866644501E-4</v>
      </c>
      <c r="N109" s="19">
        <v>4.3030545710990122E-4</v>
      </c>
      <c r="O109" s="19">
        <v>0</v>
      </c>
      <c r="P109" s="16">
        <v>1.0993132525445869E-4</v>
      </c>
      <c r="Q109" s="19">
        <v>3.6029784621954147E-4</v>
      </c>
      <c r="R109" s="16">
        <v>3.7132778245904685E-4</v>
      </c>
      <c r="S109" s="25">
        <v>5.2168200583510983E-4</v>
      </c>
      <c r="T109" s="22">
        <v>7.4555196118075218E-4</v>
      </c>
      <c r="U109" s="25">
        <v>3.7560478736949326E-4</v>
      </c>
      <c r="V109" s="22">
        <v>5.5453680422960349E-4</v>
      </c>
      <c r="W109" s="25">
        <v>7.170822171852462E-4</v>
      </c>
    </row>
    <row r="110" spans="1:23" x14ac:dyDescent="0.2">
      <c r="A110" s="6" t="s">
        <v>249</v>
      </c>
      <c r="B110" s="19">
        <v>0</v>
      </c>
      <c r="C110" s="16">
        <v>2.7700063710146532E-5</v>
      </c>
      <c r="D110" s="19">
        <v>0</v>
      </c>
      <c r="E110" s="16">
        <v>0</v>
      </c>
      <c r="F110" s="19">
        <v>0</v>
      </c>
      <c r="G110" s="16">
        <v>0</v>
      </c>
      <c r="H110" s="22">
        <v>0</v>
      </c>
      <c r="I110" s="25">
        <v>0</v>
      </c>
      <c r="J110" s="22">
        <v>0</v>
      </c>
      <c r="K110" s="25">
        <v>2.6810370251213168E-5</v>
      </c>
      <c r="L110" s="22">
        <v>0</v>
      </c>
      <c r="M110" s="25">
        <v>0</v>
      </c>
      <c r="N110" s="19">
        <v>4.7811717456655691E-5</v>
      </c>
      <c r="O110" s="19">
        <v>3.9496342638671656E-5</v>
      </c>
      <c r="P110" s="16">
        <v>2.263291990532973E-4</v>
      </c>
      <c r="Q110" s="19">
        <v>0</v>
      </c>
      <c r="R110" s="16">
        <v>0</v>
      </c>
      <c r="S110" s="25">
        <v>0</v>
      </c>
      <c r="T110" s="22">
        <v>0</v>
      </c>
      <c r="U110" s="25">
        <v>0</v>
      </c>
      <c r="V110" s="22">
        <v>0</v>
      </c>
      <c r="W110" s="25">
        <v>0</v>
      </c>
    </row>
    <row r="111" spans="1:23" x14ac:dyDescent="0.2">
      <c r="A111" s="6" t="s">
        <v>248</v>
      </c>
      <c r="B111" s="19">
        <v>0</v>
      </c>
      <c r="C111" s="16">
        <v>0</v>
      </c>
      <c r="D111" s="19">
        <v>0</v>
      </c>
      <c r="E111" s="16">
        <v>3.396393030601501E-5</v>
      </c>
      <c r="F111" s="19">
        <v>0</v>
      </c>
      <c r="G111" s="16">
        <v>0</v>
      </c>
      <c r="H111" s="22">
        <v>0</v>
      </c>
      <c r="I111" s="25">
        <v>0</v>
      </c>
      <c r="J111" s="22">
        <v>0</v>
      </c>
      <c r="K111" s="25">
        <v>0</v>
      </c>
      <c r="L111" s="22">
        <v>0</v>
      </c>
      <c r="M111" s="25">
        <v>0</v>
      </c>
      <c r="N111" s="19">
        <v>0</v>
      </c>
      <c r="O111" s="19">
        <v>0</v>
      </c>
      <c r="P111" s="16">
        <v>0</v>
      </c>
      <c r="Q111" s="19">
        <v>0</v>
      </c>
      <c r="R111" s="16">
        <v>0</v>
      </c>
      <c r="S111" s="25">
        <v>0</v>
      </c>
      <c r="T111" s="22">
        <v>0</v>
      </c>
      <c r="U111" s="25">
        <v>0</v>
      </c>
      <c r="V111" s="22">
        <v>0</v>
      </c>
      <c r="W111" s="25">
        <v>0</v>
      </c>
    </row>
    <row r="112" spans="1:23" x14ac:dyDescent="0.2">
      <c r="A112" s="6" t="s">
        <v>247</v>
      </c>
      <c r="B112" s="19">
        <v>3.2821672219578039E-2</v>
      </c>
      <c r="C112" s="16">
        <v>2.0131021301348976E-2</v>
      </c>
      <c r="D112" s="19">
        <v>3.3782199324924538E-2</v>
      </c>
      <c r="E112" s="16">
        <v>1.8537513161022996E-2</v>
      </c>
      <c r="F112" s="19">
        <v>4.1609130511073684E-2</v>
      </c>
      <c r="G112" s="16">
        <v>2.6104625133450438E-2</v>
      </c>
      <c r="H112" s="22">
        <v>4.8966565944644186E-2</v>
      </c>
      <c r="I112" s="25">
        <v>3.6974551823614213E-2</v>
      </c>
      <c r="J112" s="22">
        <v>2.8629516064524723E-2</v>
      </c>
      <c r="K112" s="25">
        <v>4.6877932384246264E-2</v>
      </c>
      <c r="L112" s="22">
        <v>4.2809187713646245E-2</v>
      </c>
      <c r="M112" s="25">
        <v>3.5816428333887596E-2</v>
      </c>
      <c r="N112" s="19">
        <v>2.9709005934629433E-2</v>
      </c>
      <c r="O112" s="19">
        <v>4.3240595920817707E-2</v>
      </c>
      <c r="P112" s="16">
        <v>1.5927109064807755E-2</v>
      </c>
      <c r="Q112" s="19">
        <v>2.1844724972644051E-2</v>
      </c>
      <c r="R112" s="16">
        <v>2.1858352732829652E-2</v>
      </c>
      <c r="S112" s="25">
        <v>4.7820850534885065E-2</v>
      </c>
      <c r="T112" s="22">
        <v>4.4360341690254587E-2</v>
      </c>
      <c r="U112" s="25">
        <v>5.6213394448688572E-2</v>
      </c>
      <c r="V112" s="22">
        <v>3.0877617508239304E-2</v>
      </c>
      <c r="W112" s="25">
        <v>3.0084483824438481E-2</v>
      </c>
    </row>
    <row r="113" spans="1:23" x14ac:dyDescent="0.2">
      <c r="A113" s="6" t="s">
        <v>246</v>
      </c>
      <c r="B113" s="19">
        <v>0</v>
      </c>
      <c r="C113" s="16">
        <v>0</v>
      </c>
      <c r="D113" s="19">
        <v>0</v>
      </c>
      <c r="E113" s="16">
        <v>0</v>
      </c>
      <c r="F113" s="19">
        <v>0</v>
      </c>
      <c r="G113" s="16">
        <v>0</v>
      </c>
      <c r="H113" s="22">
        <v>0</v>
      </c>
      <c r="I113" s="25">
        <v>0</v>
      </c>
      <c r="J113" s="22">
        <v>0</v>
      </c>
      <c r="K113" s="25">
        <v>0</v>
      </c>
      <c r="L113" s="22">
        <v>0</v>
      </c>
      <c r="M113" s="25">
        <v>2.660458929165281E-5</v>
      </c>
      <c r="N113" s="19">
        <v>0</v>
      </c>
      <c r="O113" s="19">
        <v>0</v>
      </c>
      <c r="P113" s="16">
        <v>0</v>
      </c>
      <c r="Q113" s="19">
        <v>0</v>
      </c>
      <c r="R113" s="16">
        <v>0</v>
      </c>
      <c r="S113" s="25">
        <v>0</v>
      </c>
      <c r="T113" s="22">
        <v>0</v>
      </c>
      <c r="U113" s="25">
        <v>0</v>
      </c>
      <c r="V113" s="22">
        <v>0</v>
      </c>
      <c r="W113" s="25">
        <v>0</v>
      </c>
    </row>
    <row r="114" spans="1:23" x14ac:dyDescent="0.2">
      <c r="A114" s="6" t="s">
        <v>245</v>
      </c>
      <c r="B114" s="19">
        <v>0</v>
      </c>
      <c r="C114" s="16">
        <v>0</v>
      </c>
      <c r="D114" s="19">
        <v>0</v>
      </c>
      <c r="E114" s="16">
        <v>0</v>
      </c>
      <c r="F114" s="19">
        <v>0</v>
      </c>
      <c r="G114" s="16">
        <v>0</v>
      </c>
      <c r="H114" s="22">
        <v>0</v>
      </c>
      <c r="I114" s="25">
        <v>7.7271790644961881E-5</v>
      </c>
      <c r="J114" s="22">
        <v>0</v>
      </c>
      <c r="K114" s="25">
        <v>0</v>
      </c>
      <c r="L114" s="22">
        <v>0</v>
      </c>
      <c r="M114" s="25">
        <v>0</v>
      </c>
      <c r="N114" s="19">
        <v>0</v>
      </c>
      <c r="O114" s="19">
        <v>0</v>
      </c>
      <c r="P114" s="16">
        <v>0</v>
      </c>
      <c r="Q114" s="19">
        <v>0</v>
      </c>
      <c r="R114" s="16">
        <v>0</v>
      </c>
      <c r="S114" s="25">
        <v>0</v>
      </c>
      <c r="T114" s="22">
        <v>3.1591184795794582E-5</v>
      </c>
      <c r="U114" s="25">
        <v>0</v>
      </c>
      <c r="V114" s="22">
        <v>0</v>
      </c>
      <c r="W114" s="25">
        <v>0</v>
      </c>
    </row>
    <row r="115" spans="1:23" x14ac:dyDescent="0.2">
      <c r="A115" s="6" t="s">
        <v>244</v>
      </c>
      <c r="B115" s="19">
        <v>3.3053043524247713E-5</v>
      </c>
      <c r="C115" s="16">
        <v>6.2325143347829697E-5</v>
      </c>
      <c r="D115" s="19">
        <v>1.2080298454432404E-4</v>
      </c>
      <c r="E115" s="16">
        <v>0</v>
      </c>
      <c r="F115" s="19">
        <v>0</v>
      </c>
      <c r="G115" s="16">
        <v>2.5829114577952269E-5</v>
      </c>
      <c r="H115" s="22">
        <v>1.0442023925287319E-4</v>
      </c>
      <c r="I115" s="25">
        <v>3.8635895322480941E-5</v>
      </c>
      <c r="J115" s="22">
        <v>3.9994667377682974E-5</v>
      </c>
      <c r="K115" s="25">
        <v>0</v>
      </c>
      <c r="L115" s="22">
        <v>0</v>
      </c>
      <c r="M115" s="25">
        <v>1.1972065181243765E-4</v>
      </c>
      <c r="N115" s="19">
        <v>0</v>
      </c>
      <c r="O115" s="19">
        <v>0</v>
      </c>
      <c r="P115" s="16">
        <v>1.2933097088759846E-4</v>
      </c>
      <c r="Q115" s="19">
        <v>1.0675491739838266E-4</v>
      </c>
      <c r="R115" s="16">
        <v>4.8558248475413817E-4</v>
      </c>
      <c r="S115" s="25">
        <v>0</v>
      </c>
      <c r="T115" s="22">
        <v>1.3900121310149615E-4</v>
      </c>
      <c r="U115" s="25">
        <v>0</v>
      </c>
      <c r="V115" s="22">
        <v>0</v>
      </c>
      <c r="W115" s="25">
        <v>0</v>
      </c>
    </row>
    <row r="116" spans="1:23" x14ac:dyDescent="0.2">
      <c r="A116" s="6" t="s">
        <v>243</v>
      </c>
      <c r="B116" s="19">
        <v>5.9495478343645881E-5</v>
      </c>
      <c r="C116" s="16">
        <v>0</v>
      </c>
      <c r="D116" s="19">
        <v>3.3398472197548407E-4</v>
      </c>
      <c r="E116" s="16">
        <v>2.0378358183609007E-4</v>
      </c>
      <c r="F116" s="19">
        <v>5.3403724528330679E-5</v>
      </c>
      <c r="G116" s="16">
        <v>6.8877638874539383E-5</v>
      </c>
      <c r="H116" s="22">
        <v>1.4357782897270064E-4</v>
      </c>
      <c r="I116" s="25">
        <v>1.6742221306408406E-4</v>
      </c>
      <c r="J116" s="22">
        <v>9.332089054792694E-5</v>
      </c>
      <c r="K116" s="25">
        <v>1.3405185125606585E-4</v>
      </c>
      <c r="L116" s="22">
        <v>0</v>
      </c>
      <c r="M116" s="25">
        <v>0</v>
      </c>
      <c r="N116" s="19">
        <v>1.8527040514454079E-4</v>
      </c>
      <c r="O116" s="19">
        <v>8.2152392688437047E-4</v>
      </c>
      <c r="P116" s="16">
        <v>0</v>
      </c>
      <c r="Q116" s="19">
        <v>1.0675491739838266E-4</v>
      </c>
      <c r="R116" s="16">
        <v>5.7127351147545669E-5</v>
      </c>
      <c r="S116" s="25">
        <v>8.3726741677239851E-5</v>
      </c>
      <c r="T116" s="22">
        <v>3.4750303275374046E-4</v>
      </c>
      <c r="U116" s="25">
        <v>2.3554876496052968E-4</v>
      </c>
      <c r="V116" s="22">
        <v>3.1507772967591106E-5</v>
      </c>
      <c r="W116" s="25">
        <v>0</v>
      </c>
    </row>
    <row r="117" spans="1:23" x14ac:dyDescent="0.2">
      <c r="A117" s="6" t="s">
        <v>242</v>
      </c>
      <c r="B117" s="19">
        <v>3.6358347876672484E-4</v>
      </c>
      <c r="C117" s="16">
        <v>2.2298551286667953E-3</v>
      </c>
      <c r="D117" s="19">
        <v>7.0349973352282821E-4</v>
      </c>
      <c r="E117" s="16">
        <v>1.0121251231192474E-3</v>
      </c>
      <c r="F117" s="19">
        <v>2.5786369843679669E-3</v>
      </c>
      <c r="G117" s="16">
        <v>1.6616730378482627E-3</v>
      </c>
      <c r="H117" s="22">
        <v>1.6772500929992757E-3</v>
      </c>
      <c r="I117" s="25">
        <v>5.1063774984545637E-3</v>
      </c>
      <c r="J117" s="22">
        <v>3.9728036261831752E-3</v>
      </c>
      <c r="K117" s="25">
        <v>7.6476581141585558E-3</v>
      </c>
      <c r="L117" s="22">
        <v>5.0783267343776899E-3</v>
      </c>
      <c r="M117" s="25">
        <v>5.0947788493515139E-3</v>
      </c>
      <c r="N117" s="19">
        <v>2.450350519653604E-4</v>
      </c>
      <c r="O117" s="19">
        <v>2.3697805583202996E-5</v>
      </c>
      <c r="P117" s="16">
        <v>5.108573350060139E-4</v>
      </c>
      <c r="Q117" s="19">
        <v>1.5212575729269531E-3</v>
      </c>
      <c r="R117" s="16">
        <v>1.5852839943443918E-3</v>
      </c>
      <c r="S117" s="25">
        <v>1.0613974637237794E-2</v>
      </c>
      <c r="T117" s="22">
        <v>6.0591892438334018E-3</v>
      </c>
      <c r="U117" s="25">
        <v>1.4623121976063157E-2</v>
      </c>
      <c r="V117" s="22">
        <v>4.3102633419664638E-3</v>
      </c>
      <c r="W117" s="25">
        <v>1.3162991963733774E-2</v>
      </c>
    </row>
    <row r="118" spans="1:23" x14ac:dyDescent="0.2">
      <c r="A118" s="6" t="s">
        <v>241</v>
      </c>
      <c r="B118" s="19">
        <v>0</v>
      </c>
      <c r="C118" s="16">
        <v>0</v>
      </c>
      <c r="D118" s="19">
        <v>0</v>
      </c>
      <c r="E118" s="16">
        <v>0</v>
      </c>
      <c r="F118" s="19">
        <v>0</v>
      </c>
      <c r="G118" s="16">
        <v>0</v>
      </c>
      <c r="H118" s="22">
        <v>0</v>
      </c>
      <c r="I118" s="25">
        <v>0</v>
      </c>
      <c r="J118" s="22">
        <v>1.1331822423676842E-4</v>
      </c>
      <c r="K118" s="25">
        <v>0</v>
      </c>
      <c r="L118" s="22">
        <v>0</v>
      </c>
      <c r="M118" s="25">
        <v>0</v>
      </c>
      <c r="N118" s="19">
        <v>0</v>
      </c>
      <c r="O118" s="19">
        <v>1.5798537055468663E-5</v>
      </c>
      <c r="P118" s="16">
        <v>0</v>
      </c>
      <c r="Q118" s="19">
        <v>0</v>
      </c>
      <c r="R118" s="16">
        <v>0</v>
      </c>
      <c r="S118" s="25">
        <v>0</v>
      </c>
      <c r="T118" s="22">
        <v>0</v>
      </c>
      <c r="U118" s="25">
        <v>1.2732365673542144E-5</v>
      </c>
      <c r="V118" s="22">
        <v>0</v>
      </c>
      <c r="W118" s="25">
        <v>0</v>
      </c>
    </row>
    <row r="119" spans="1:23" x14ac:dyDescent="0.2">
      <c r="A119" s="6" t="s">
        <v>240</v>
      </c>
      <c r="B119" s="19">
        <v>1.7187582632608811E-4</v>
      </c>
      <c r="C119" s="16">
        <v>0</v>
      </c>
      <c r="D119" s="19">
        <v>1.4922721620181203E-4</v>
      </c>
      <c r="E119" s="16">
        <v>1.0189179091804504E-4</v>
      </c>
      <c r="F119" s="19">
        <v>9.917834555261411E-4</v>
      </c>
      <c r="G119" s="16">
        <v>4.3048524296587115E-5</v>
      </c>
      <c r="H119" s="22">
        <v>2.1536674345905095E-4</v>
      </c>
      <c r="I119" s="25">
        <v>1.931794766124047E-5</v>
      </c>
      <c r="J119" s="22">
        <v>0</v>
      </c>
      <c r="K119" s="25">
        <v>0</v>
      </c>
      <c r="L119" s="22">
        <v>1.16813811081327E-4</v>
      </c>
      <c r="M119" s="25">
        <v>1.6627868307283005E-4</v>
      </c>
      <c r="N119" s="19">
        <v>0</v>
      </c>
      <c r="O119" s="19">
        <v>6.3984075074648085E-4</v>
      </c>
      <c r="P119" s="16">
        <v>2.5866194177519691E-5</v>
      </c>
      <c r="Q119" s="19">
        <v>1.6013237609757399E-4</v>
      </c>
      <c r="R119" s="16">
        <v>1.3567745897542097E-4</v>
      </c>
      <c r="S119" s="25">
        <v>4.5083630133898384E-5</v>
      </c>
      <c r="T119" s="22">
        <v>5.6232308936514364E-4</v>
      </c>
      <c r="U119" s="25">
        <v>2.6101349630761397E-4</v>
      </c>
      <c r="V119" s="22">
        <v>2.5206218374072882E-5</v>
      </c>
      <c r="W119" s="25">
        <v>0</v>
      </c>
    </row>
    <row r="120" spans="1:23" x14ac:dyDescent="0.2">
      <c r="A120" s="6" t="s">
        <v>239</v>
      </c>
      <c r="B120" s="19">
        <v>0</v>
      </c>
      <c r="C120" s="16">
        <v>0</v>
      </c>
      <c r="D120" s="19">
        <v>0</v>
      </c>
      <c r="E120" s="16">
        <v>0</v>
      </c>
      <c r="F120" s="19">
        <v>0</v>
      </c>
      <c r="G120" s="16">
        <v>0</v>
      </c>
      <c r="H120" s="22">
        <v>0</v>
      </c>
      <c r="I120" s="25">
        <v>0</v>
      </c>
      <c r="J120" s="22">
        <v>0</v>
      </c>
      <c r="K120" s="25">
        <v>0</v>
      </c>
      <c r="L120" s="22">
        <v>0</v>
      </c>
      <c r="M120" s="25">
        <v>0</v>
      </c>
      <c r="N120" s="19">
        <v>0</v>
      </c>
      <c r="O120" s="19">
        <v>3.1597074110937326E-5</v>
      </c>
      <c r="P120" s="16">
        <v>0</v>
      </c>
      <c r="Q120" s="19">
        <v>0</v>
      </c>
      <c r="R120" s="16">
        <v>0</v>
      </c>
      <c r="S120" s="25">
        <v>0</v>
      </c>
      <c r="T120" s="22">
        <v>0</v>
      </c>
      <c r="U120" s="25">
        <v>0</v>
      </c>
      <c r="V120" s="22">
        <v>0</v>
      </c>
      <c r="W120" s="25">
        <v>0</v>
      </c>
    </row>
    <row r="121" spans="1:23" x14ac:dyDescent="0.2">
      <c r="A121" s="6" t="s">
        <v>238</v>
      </c>
      <c r="B121" s="19">
        <v>8.5937913163044056E-5</v>
      </c>
      <c r="C121" s="16">
        <v>6.2325143347829697E-5</v>
      </c>
      <c r="D121" s="19">
        <v>3.4819683780422806E-4</v>
      </c>
      <c r="E121" s="16">
        <v>1.9699079577488706E-4</v>
      </c>
      <c r="F121" s="19">
        <v>1.9072758760118097E-4</v>
      </c>
      <c r="G121" s="16">
        <v>4.3048524296587115E-5</v>
      </c>
      <c r="H121" s="22">
        <v>4.1768095701149276E-4</v>
      </c>
      <c r="I121" s="25">
        <v>1.931794766124047E-5</v>
      </c>
      <c r="J121" s="22">
        <v>3.9994667377682974E-5</v>
      </c>
      <c r="K121" s="25">
        <v>2.0107777688409878E-5</v>
      </c>
      <c r="L121" s="22">
        <v>3.0740476600349208E-4</v>
      </c>
      <c r="M121" s="25">
        <v>1.1306950448952444E-4</v>
      </c>
      <c r="N121" s="19">
        <v>2.0319979919078667E-4</v>
      </c>
      <c r="O121" s="19">
        <v>3.238700096371076E-4</v>
      </c>
      <c r="P121" s="16">
        <v>8.4065131076938992E-5</v>
      </c>
      <c r="Q121" s="19">
        <v>0</v>
      </c>
      <c r="R121" s="16">
        <v>1.2139562118853454E-4</v>
      </c>
      <c r="S121" s="25">
        <v>0</v>
      </c>
      <c r="T121" s="22">
        <v>1.2636473918317833E-4</v>
      </c>
      <c r="U121" s="25">
        <v>0</v>
      </c>
      <c r="V121" s="22">
        <v>1.5753886483795552E-4</v>
      </c>
      <c r="W121" s="25">
        <v>2.4726973006387802E-5</v>
      </c>
    </row>
    <row r="122" spans="1:23" x14ac:dyDescent="0.2">
      <c r="A122" s="6" t="s">
        <v>237</v>
      </c>
      <c r="B122" s="19">
        <v>0</v>
      </c>
      <c r="C122" s="16">
        <v>0</v>
      </c>
      <c r="D122" s="19">
        <v>0</v>
      </c>
      <c r="E122" s="16">
        <v>0</v>
      </c>
      <c r="F122" s="19">
        <v>1.9835669110522823E-4</v>
      </c>
      <c r="G122" s="16">
        <v>0</v>
      </c>
      <c r="H122" s="22">
        <v>0</v>
      </c>
      <c r="I122" s="25">
        <v>0</v>
      </c>
      <c r="J122" s="22">
        <v>0</v>
      </c>
      <c r="K122" s="25">
        <v>0</v>
      </c>
      <c r="L122" s="22">
        <v>5.533285788062858E-5</v>
      </c>
      <c r="M122" s="25">
        <v>0</v>
      </c>
      <c r="N122" s="19">
        <v>0</v>
      </c>
      <c r="O122" s="19">
        <v>0</v>
      </c>
      <c r="P122" s="16">
        <v>1.2933097088759846E-5</v>
      </c>
      <c r="Q122" s="19">
        <v>0</v>
      </c>
      <c r="R122" s="16">
        <v>0</v>
      </c>
      <c r="S122" s="25">
        <v>0</v>
      </c>
      <c r="T122" s="22">
        <v>0</v>
      </c>
      <c r="U122" s="25">
        <v>0</v>
      </c>
      <c r="V122" s="22">
        <v>0</v>
      </c>
      <c r="W122" s="25">
        <v>0</v>
      </c>
    </row>
    <row r="123" spans="1:23" x14ac:dyDescent="0.2">
      <c r="A123" s="6" t="s">
        <v>236</v>
      </c>
      <c r="B123" s="19">
        <v>2.974773917182294E-4</v>
      </c>
      <c r="C123" s="16">
        <v>0</v>
      </c>
      <c r="D123" s="19">
        <v>9.2378752886836034E-5</v>
      </c>
      <c r="E123" s="16">
        <v>6.792786061203002E-5</v>
      </c>
      <c r="F123" s="19">
        <v>2.9600921595703284E-3</v>
      </c>
      <c r="G123" s="16">
        <v>5.1658229155904537E-5</v>
      </c>
      <c r="H123" s="22">
        <v>0</v>
      </c>
      <c r="I123" s="25">
        <v>0</v>
      </c>
      <c r="J123" s="22">
        <v>0</v>
      </c>
      <c r="K123" s="25">
        <v>1.3405185125606584E-5</v>
      </c>
      <c r="L123" s="22">
        <v>5.533285788062858E-5</v>
      </c>
      <c r="M123" s="25">
        <v>0</v>
      </c>
      <c r="N123" s="19">
        <v>2.3905858728327845E-5</v>
      </c>
      <c r="O123" s="19">
        <v>6.3194148221874653E-5</v>
      </c>
      <c r="P123" s="16">
        <v>1.5519716506511816E-4</v>
      </c>
      <c r="Q123" s="19">
        <v>4.0033094024393497E-5</v>
      </c>
      <c r="R123" s="16">
        <v>2.1422756680329623E-5</v>
      </c>
      <c r="S123" s="25">
        <v>0</v>
      </c>
      <c r="T123" s="22">
        <v>1.8954710877476749E-5</v>
      </c>
      <c r="U123" s="25">
        <v>0</v>
      </c>
      <c r="V123" s="22">
        <v>0</v>
      </c>
      <c r="W123" s="25">
        <v>0</v>
      </c>
    </row>
    <row r="124" spans="1:23" x14ac:dyDescent="0.2">
      <c r="A124" s="6" t="s">
        <v>235</v>
      </c>
      <c r="B124" s="19">
        <v>1.2560156539214128E-3</v>
      </c>
      <c r="C124" s="16">
        <v>6.2325143347829697E-5</v>
      </c>
      <c r="D124" s="19">
        <v>6.3243915437910818E-4</v>
      </c>
      <c r="E124" s="16">
        <v>1.3585572122406007E-4</v>
      </c>
      <c r="F124" s="19">
        <v>9.6889614501399941E-4</v>
      </c>
      <c r="G124" s="16">
        <v>1.7219409718634846E-5</v>
      </c>
      <c r="H124" s="22">
        <v>0</v>
      </c>
      <c r="I124" s="25">
        <v>4.5075211209561096E-5</v>
      </c>
      <c r="J124" s="22">
        <v>2.6663111585121983E-5</v>
      </c>
      <c r="K124" s="25">
        <v>0</v>
      </c>
      <c r="L124" s="22">
        <v>7.3777143840838134E-4</v>
      </c>
      <c r="M124" s="25">
        <v>0</v>
      </c>
      <c r="N124" s="19">
        <v>1.0578342487285071E-3</v>
      </c>
      <c r="O124" s="19">
        <v>4.6605684313632553E-4</v>
      </c>
      <c r="P124" s="16">
        <v>4.3972530101783476E-4</v>
      </c>
      <c r="Q124" s="19">
        <v>2.6688729349595664E-5</v>
      </c>
      <c r="R124" s="16">
        <v>7.8550107827875289E-5</v>
      </c>
      <c r="S124" s="25">
        <v>0</v>
      </c>
      <c r="T124" s="22">
        <v>1.2636473918317832E-5</v>
      </c>
      <c r="U124" s="25">
        <v>1.2732365673542144E-5</v>
      </c>
      <c r="V124" s="22">
        <v>0</v>
      </c>
      <c r="W124" s="25">
        <v>0</v>
      </c>
    </row>
    <row r="125" spans="1:23" x14ac:dyDescent="0.2">
      <c r="A125" s="6" t="s">
        <v>234</v>
      </c>
      <c r="B125" s="19">
        <v>6.6106087048495426E-5</v>
      </c>
      <c r="C125" s="16">
        <v>0</v>
      </c>
      <c r="D125" s="19">
        <v>0</v>
      </c>
      <c r="E125" s="16">
        <v>0</v>
      </c>
      <c r="F125" s="19">
        <v>1.2206565606475583E-4</v>
      </c>
      <c r="G125" s="16">
        <v>0</v>
      </c>
      <c r="H125" s="22">
        <v>0</v>
      </c>
      <c r="I125" s="25">
        <v>1.931794766124047E-5</v>
      </c>
      <c r="J125" s="22">
        <v>0</v>
      </c>
      <c r="K125" s="25">
        <v>0</v>
      </c>
      <c r="L125" s="22">
        <v>0</v>
      </c>
      <c r="M125" s="25">
        <v>1.9953441968739608E-5</v>
      </c>
      <c r="N125" s="19">
        <v>0</v>
      </c>
      <c r="O125" s="19">
        <v>1.3428756497148363E-4</v>
      </c>
      <c r="P125" s="16">
        <v>0</v>
      </c>
      <c r="Q125" s="19">
        <v>8.0066188048786993E-5</v>
      </c>
      <c r="R125" s="16">
        <v>0</v>
      </c>
      <c r="S125" s="25">
        <v>0</v>
      </c>
      <c r="T125" s="22">
        <v>7.5818843509906994E-5</v>
      </c>
      <c r="U125" s="25">
        <v>2.5464731347084288E-5</v>
      </c>
      <c r="V125" s="22">
        <v>0</v>
      </c>
      <c r="W125" s="25">
        <v>0</v>
      </c>
    </row>
    <row r="126" spans="1:23" x14ac:dyDescent="0.2">
      <c r="A126" s="6" t="s">
        <v>233</v>
      </c>
      <c r="B126" s="19">
        <v>5.9495478343645881E-5</v>
      </c>
      <c r="C126" s="16">
        <v>0</v>
      </c>
      <c r="D126" s="19">
        <v>1.0659086871558003E-4</v>
      </c>
      <c r="E126" s="16">
        <v>1.0868457697924803E-4</v>
      </c>
      <c r="F126" s="19">
        <v>1.1443655256070859E-4</v>
      </c>
      <c r="G126" s="16">
        <v>0</v>
      </c>
      <c r="H126" s="22">
        <v>8.8757203364942211E-4</v>
      </c>
      <c r="I126" s="25">
        <v>9.6589738306202355E-5</v>
      </c>
      <c r="J126" s="22">
        <v>5.2659645380615915E-4</v>
      </c>
      <c r="K126" s="25">
        <v>2.2788814713531195E-4</v>
      </c>
      <c r="L126" s="22">
        <v>2.2747952684258417E-4</v>
      </c>
      <c r="M126" s="25">
        <v>2.8599933488526773E-4</v>
      </c>
      <c r="N126" s="19">
        <v>1.8527040514454082E-4</v>
      </c>
      <c r="O126" s="19">
        <v>0</v>
      </c>
      <c r="P126" s="16">
        <v>2.0046300487577761E-4</v>
      </c>
      <c r="Q126" s="19">
        <v>9.3410552723584826E-5</v>
      </c>
      <c r="R126" s="16">
        <v>1.7852297233608019E-4</v>
      </c>
      <c r="S126" s="25">
        <v>2.5762074362227646E-4</v>
      </c>
      <c r="T126" s="22">
        <v>2.9063890012131013E-4</v>
      </c>
      <c r="U126" s="25">
        <v>4.0106951871657755E-4</v>
      </c>
      <c r="V126" s="22">
        <v>1.1405813814267978E-3</v>
      </c>
      <c r="W126" s="25">
        <v>3.2969297341850403E-4</v>
      </c>
    </row>
    <row r="127" spans="1:23" x14ac:dyDescent="0.2">
      <c r="A127" s="6" t="s">
        <v>232</v>
      </c>
      <c r="B127" s="19">
        <v>2.6442434819398171E-5</v>
      </c>
      <c r="C127" s="16">
        <v>0</v>
      </c>
      <c r="D127" s="19">
        <v>0</v>
      </c>
      <c r="E127" s="16">
        <v>2.0378358183609007E-5</v>
      </c>
      <c r="F127" s="19">
        <v>5.1114993477116501E-4</v>
      </c>
      <c r="G127" s="16">
        <v>0</v>
      </c>
      <c r="H127" s="22">
        <v>0</v>
      </c>
      <c r="I127" s="25">
        <v>0</v>
      </c>
      <c r="J127" s="22">
        <v>0</v>
      </c>
      <c r="K127" s="25">
        <v>0</v>
      </c>
      <c r="L127" s="22">
        <v>3.6888571920419054E-5</v>
      </c>
      <c r="M127" s="25">
        <v>0</v>
      </c>
      <c r="N127" s="19">
        <v>5.1397596265904868E-4</v>
      </c>
      <c r="O127" s="19">
        <v>1.3428756497148363E-4</v>
      </c>
      <c r="P127" s="16">
        <v>4.5265839810659458E-5</v>
      </c>
      <c r="Q127" s="19">
        <v>0</v>
      </c>
      <c r="R127" s="16">
        <v>0</v>
      </c>
      <c r="S127" s="25">
        <v>0</v>
      </c>
      <c r="T127" s="22">
        <v>0</v>
      </c>
      <c r="U127" s="25">
        <v>0</v>
      </c>
      <c r="V127" s="22">
        <v>1.2603109187036441E-5</v>
      </c>
      <c r="W127" s="25">
        <v>0</v>
      </c>
    </row>
    <row r="128" spans="1:23" x14ac:dyDescent="0.2">
      <c r="A128" s="6" t="s">
        <v>231</v>
      </c>
      <c r="B128" s="19">
        <v>6.0156539214130823E-4</v>
      </c>
      <c r="C128" s="16">
        <v>2.8392565302900194E-4</v>
      </c>
      <c r="D128" s="19">
        <v>2.344999111742761E-4</v>
      </c>
      <c r="E128" s="16">
        <v>1.9019800971368405E-4</v>
      </c>
      <c r="F128" s="19">
        <v>5.8744096981163741E-4</v>
      </c>
      <c r="G128" s="16">
        <v>3.4438819437269692E-5</v>
      </c>
      <c r="H128" s="22">
        <v>0</v>
      </c>
      <c r="I128" s="25">
        <v>4.5075211209561096E-5</v>
      </c>
      <c r="J128" s="22">
        <v>0</v>
      </c>
      <c r="K128" s="25">
        <v>0</v>
      </c>
      <c r="L128" s="22">
        <v>4.734033396453778E-4</v>
      </c>
      <c r="M128" s="25">
        <v>0</v>
      </c>
      <c r="N128" s="19">
        <v>8.8451677294813032E-4</v>
      </c>
      <c r="O128" s="19">
        <v>3.9496342638671656E-5</v>
      </c>
      <c r="P128" s="16">
        <v>9.9584847583450821E-4</v>
      </c>
      <c r="Q128" s="19">
        <v>9.3410552723584826E-5</v>
      </c>
      <c r="R128" s="16">
        <v>1.5710021565575061E-4</v>
      </c>
      <c r="S128" s="25">
        <v>0</v>
      </c>
      <c r="T128" s="22">
        <v>8.2137080469065916E-5</v>
      </c>
      <c r="U128" s="25">
        <v>0</v>
      </c>
      <c r="V128" s="22">
        <v>5.0412436748145764E-5</v>
      </c>
      <c r="W128" s="25">
        <v>0</v>
      </c>
    </row>
    <row r="129" spans="1:23" x14ac:dyDescent="0.2">
      <c r="A129" s="6" t="s">
        <v>230</v>
      </c>
      <c r="B129" s="19">
        <v>0</v>
      </c>
      <c r="C129" s="16">
        <v>0</v>
      </c>
      <c r="D129" s="19">
        <v>0</v>
      </c>
      <c r="E129" s="16">
        <v>0</v>
      </c>
      <c r="F129" s="19">
        <v>0</v>
      </c>
      <c r="G129" s="16">
        <v>0</v>
      </c>
      <c r="H129" s="22">
        <v>0</v>
      </c>
      <c r="I129" s="25">
        <v>0</v>
      </c>
      <c r="J129" s="22">
        <v>0</v>
      </c>
      <c r="K129" s="25">
        <v>0</v>
      </c>
      <c r="L129" s="22">
        <v>0</v>
      </c>
      <c r="M129" s="25">
        <v>0</v>
      </c>
      <c r="N129" s="19">
        <v>0</v>
      </c>
      <c r="O129" s="19">
        <v>0</v>
      </c>
      <c r="P129" s="16">
        <v>0</v>
      </c>
      <c r="Q129" s="19">
        <v>0</v>
      </c>
      <c r="R129" s="16">
        <v>0</v>
      </c>
      <c r="S129" s="25">
        <v>0</v>
      </c>
      <c r="T129" s="22">
        <v>2.5272947836635664E-5</v>
      </c>
      <c r="U129" s="25">
        <v>0</v>
      </c>
      <c r="V129" s="22">
        <v>0</v>
      </c>
      <c r="W129" s="25">
        <v>0</v>
      </c>
    </row>
    <row r="130" spans="1:23" x14ac:dyDescent="0.2">
      <c r="A130" s="6" t="s">
        <v>229</v>
      </c>
      <c r="B130" s="19">
        <v>0</v>
      </c>
      <c r="C130" s="16">
        <v>0</v>
      </c>
      <c r="D130" s="19">
        <v>0</v>
      </c>
      <c r="E130" s="16">
        <v>0</v>
      </c>
      <c r="F130" s="19">
        <v>0</v>
      </c>
      <c r="G130" s="16">
        <v>0</v>
      </c>
      <c r="H130" s="22">
        <v>0</v>
      </c>
      <c r="I130" s="25">
        <v>0</v>
      </c>
      <c r="J130" s="22">
        <v>0</v>
      </c>
      <c r="K130" s="25">
        <v>0</v>
      </c>
      <c r="L130" s="22">
        <v>0</v>
      </c>
      <c r="M130" s="25">
        <v>0</v>
      </c>
      <c r="N130" s="19">
        <v>0</v>
      </c>
      <c r="O130" s="19">
        <v>0</v>
      </c>
      <c r="P130" s="16">
        <v>0</v>
      </c>
      <c r="Q130" s="19">
        <v>0</v>
      </c>
      <c r="R130" s="16">
        <v>0</v>
      </c>
      <c r="S130" s="25">
        <v>0</v>
      </c>
      <c r="T130" s="22">
        <v>0</v>
      </c>
      <c r="U130" s="25">
        <v>0</v>
      </c>
      <c r="V130" s="22">
        <v>3.7809327561109323E-5</v>
      </c>
      <c r="W130" s="25">
        <v>0</v>
      </c>
    </row>
    <row r="131" spans="1:23" x14ac:dyDescent="0.2">
      <c r="A131" s="6" t="s">
        <v>228</v>
      </c>
      <c r="B131" s="19">
        <v>2.2476069596488445E-4</v>
      </c>
      <c r="C131" s="16">
        <v>1.3850031855073266E-5</v>
      </c>
      <c r="D131" s="19">
        <v>7.8166637058092026E-5</v>
      </c>
      <c r="E131" s="16">
        <v>9.5099004856842026E-5</v>
      </c>
      <c r="F131" s="19">
        <v>0</v>
      </c>
      <c r="G131" s="16">
        <v>1.4636498260839619E-4</v>
      </c>
      <c r="H131" s="22">
        <v>2.284192733656601E-4</v>
      </c>
      <c r="I131" s="25">
        <v>1.931794766124047E-5</v>
      </c>
      <c r="J131" s="22">
        <v>0</v>
      </c>
      <c r="K131" s="25">
        <v>0</v>
      </c>
      <c r="L131" s="22">
        <v>2.0903524088237464E-4</v>
      </c>
      <c r="M131" s="25">
        <v>7.3162620552045231E-5</v>
      </c>
      <c r="N131" s="19">
        <v>2.3905858728327846E-4</v>
      </c>
      <c r="O131" s="19">
        <v>5.5294879694140322E-4</v>
      </c>
      <c r="P131" s="16">
        <v>6.4665485443799228E-6</v>
      </c>
      <c r="Q131" s="19">
        <v>3.8698657556913714E-4</v>
      </c>
      <c r="R131" s="16">
        <v>4.9986432254102458E-5</v>
      </c>
      <c r="S131" s="25">
        <v>0</v>
      </c>
      <c r="T131" s="22">
        <v>4.2964011322280631E-4</v>
      </c>
      <c r="U131" s="25">
        <v>2.5464731347084288E-5</v>
      </c>
      <c r="V131" s="22">
        <v>1.2603109187036442E-4</v>
      </c>
      <c r="W131" s="25">
        <v>1.6484648670925202E-5</v>
      </c>
    </row>
    <row r="132" spans="1:23" x14ac:dyDescent="0.2">
      <c r="A132" s="6" t="s">
        <v>227</v>
      </c>
      <c r="B132" s="19">
        <v>9.7837008831773236E-4</v>
      </c>
      <c r="C132" s="16">
        <v>3.4625079637683168E-5</v>
      </c>
      <c r="D132" s="19">
        <v>6.8928761769408416E-4</v>
      </c>
      <c r="E132" s="16">
        <v>1.4944129334646606E-4</v>
      </c>
      <c r="F132" s="19">
        <v>3.9976502361207542E-3</v>
      </c>
      <c r="G132" s="16">
        <v>9.4706753452491652E-5</v>
      </c>
      <c r="H132" s="22">
        <v>3.9810216215157906E-4</v>
      </c>
      <c r="I132" s="25">
        <v>1.2234700185452296E-4</v>
      </c>
      <c r="J132" s="22">
        <v>1.5997866951073189E-4</v>
      </c>
      <c r="K132" s="25">
        <v>0</v>
      </c>
      <c r="L132" s="22">
        <v>6.7629048520768267E-5</v>
      </c>
      <c r="M132" s="25">
        <v>1.3967409378117725E-4</v>
      </c>
      <c r="N132" s="19">
        <v>1.2968928360117856E-3</v>
      </c>
      <c r="O132" s="19">
        <v>3.238700096371076E-4</v>
      </c>
      <c r="P132" s="16">
        <v>6.4665485443799234E-4</v>
      </c>
      <c r="Q132" s="19">
        <v>2.9357602284555231E-4</v>
      </c>
      <c r="R132" s="16">
        <v>1.4995929676230737E-4</v>
      </c>
      <c r="S132" s="25">
        <v>1.2881037181113823E-4</v>
      </c>
      <c r="T132" s="22">
        <v>1.2636473918317832E-5</v>
      </c>
      <c r="U132" s="25">
        <v>0</v>
      </c>
      <c r="V132" s="22">
        <v>8.1290054256385037E-4</v>
      </c>
      <c r="W132" s="25">
        <v>4.1211621677313004E-5</v>
      </c>
    </row>
    <row r="133" spans="1:23" x14ac:dyDescent="0.2">
      <c r="A133" s="6" t="s">
        <v>226</v>
      </c>
      <c r="B133" s="19">
        <v>0</v>
      </c>
      <c r="C133" s="16">
        <v>2.7700063710146532E-5</v>
      </c>
      <c r="D133" s="19">
        <v>8.2430271806715224E-4</v>
      </c>
      <c r="E133" s="16">
        <v>2.7171144244812008E-4</v>
      </c>
      <c r="F133" s="19">
        <v>3.4330965768212575E-4</v>
      </c>
      <c r="G133" s="16">
        <v>1.2914557288976134E-4</v>
      </c>
      <c r="H133" s="22">
        <v>2.4799806822557382E-4</v>
      </c>
      <c r="I133" s="25">
        <v>2.511333195961261E-4</v>
      </c>
      <c r="J133" s="22">
        <v>0</v>
      </c>
      <c r="K133" s="25">
        <v>0</v>
      </c>
      <c r="L133" s="22">
        <v>1.7337628802596955E-3</v>
      </c>
      <c r="M133" s="25">
        <v>1.177253076155637E-3</v>
      </c>
      <c r="N133" s="19">
        <v>3.1675262815034392E-4</v>
      </c>
      <c r="O133" s="19">
        <v>2.0538098172109262E-4</v>
      </c>
      <c r="P133" s="16">
        <v>7.1132033988179143E-5</v>
      </c>
      <c r="Q133" s="19">
        <v>1.7347674077237182E-4</v>
      </c>
      <c r="R133" s="16">
        <v>4.2845513360659247E-5</v>
      </c>
      <c r="S133" s="25">
        <v>7.7286223086682934E-5</v>
      </c>
      <c r="T133" s="22">
        <v>1.9017893247068336E-3</v>
      </c>
      <c r="U133" s="25">
        <v>6.23885918003565E-4</v>
      </c>
      <c r="V133" s="22">
        <v>3.7809327561109323E-5</v>
      </c>
      <c r="W133" s="25">
        <v>0</v>
      </c>
    </row>
    <row r="134" spans="1:23" x14ac:dyDescent="0.2">
      <c r="A134" s="6" t="s">
        <v>225</v>
      </c>
      <c r="B134" s="19">
        <v>0.21979612882754268</v>
      </c>
      <c r="C134" s="16">
        <v>0.20664940029362064</v>
      </c>
      <c r="D134" s="19">
        <v>0.16706342156688567</v>
      </c>
      <c r="E134" s="16">
        <v>0.20688788506605973</v>
      </c>
      <c r="F134" s="19">
        <v>0.1551454488583047</v>
      </c>
      <c r="G134" s="16">
        <v>0.28697007266590935</v>
      </c>
      <c r="H134" s="22">
        <v>0.15635625575127102</v>
      </c>
      <c r="I134" s="25">
        <v>0.15156861735009261</v>
      </c>
      <c r="J134" s="22">
        <v>0.12042394347420343</v>
      </c>
      <c r="K134" s="25">
        <v>0.11929274243277299</v>
      </c>
      <c r="L134" s="22">
        <v>0.15636450827533632</v>
      </c>
      <c r="M134" s="25">
        <v>0.16540073162620542</v>
      </c>
      <c r="N134" s="19">
        <v>0.19914177967165289</v>
      </c>
      <c r="O134" s="19">
        <v>0.20651847638908649</v>
      </c>
      <c r="P134" s="16">
        <v>0.19090544612718413</v>
      </c>
      <c r="Q134" s="19">
        <v>0.2270810536710349</v>
      </c>
      <c r="R134" s="16">
        <v>0.21613419214784613</v>
      </c>
      <c r="S134" s="25">
        <v>8.120205838974151E-2</v>
      </c>
      <c r="T134" s="22">
        <v>0.1712874039627984</v>
      </c>
      <c r="U134" s="25">
        <v>0.16495416348357547</v>
      </c>
      <c r="V134" s="22">
        <v>0.11206054533653449</v>
      </c>
      <c r="W134" s="25">
        <v>0.12115392540696474</v>
      </c>
    </row>
    <row r="135" spans="1:23" x14ac:dyDescent="0.2">
      <c r="A135" s="6" t="s">
        <v>224</v>
      </c>
      <c r="B135" s="19">
        <v>1.3882278280184039E-4</v>
      </c>
      <c r="C135" s="16">
        <v>4.8475111492756433E-5</v>
      </c>
      <c r="D135" s="19">
        <v>4.7610588026292418E-4</v>
      </c>
      <c r="E135" s="16">
        <v>2.0378358183609007E-4</v>
      </c>
      <c r="F135" s="19">
        <v>8.392013854451963E-5</v>
      </c>
      <c r="G135" s="16">
        <v>0</v>
      </c>
      <c r="H135" s="22">
        <v>1.0442023925287319E-4</v>
      </c>
      <c r="I135" s="25">
        <v>0</v>
      </c>
      <c r="J135" s="22">
        <v>0</v>
      </c>
      <c r="K135" s="25">
        <v>0</v>
      </c>
      <c r="L135" s="22">
        <v>8.6073334480977787E-5</v>
      </c>
      <c r="M135" s="25">
        <v>5.3209178583305619E-5</v>
      </c>
      <c r="N135" s="19">
        <v>0</v>
      </c>
      <c r="O135" s="19">
        <v>1.2638829644374931E-4</v>
      </c>
      <c r="P135" s="16">
        <v>3.2332742721899616E-5</v>
      </c>
      <c r="Q135" s="19">
        <v>0</v>
      </c>
      <c r="R135" s="16">
        <v>0</v>
      </c>
      <c r="S135" s="25">
        <v>0</v>
      </c>
      <c r="T135" s="22">
        <v>9.6669025475131409E-4</v>
      </c>
      <c r="U135" s="25">
        <v>7.6394194041252861E-5</v>
      </c>
      <c r="V135" s="22">
        <v>0</v>
      </c>
      <c r="W135" s="25">
        <v>0</v>
      </c>
    </row>
    <row r="136" spans="1:23" x14ac:dyDescent="0.2">
      <c r="A136" s="6" t="s">
        <v>223</v>
      </c>
      <c r="B136" s="19">
        <v>3.3053043524247709E-4</v>
      </c>
      <c r="C136" s="16">
        <v>3.4625079637683168E-5</v>
      </c>
      <c r="D136" s="19">
        <v>1.9612719843666729E-3</v>
      </c>
      <c r="E136" s="16">
        <v>1.0121251231192474E-3</v>
      </c>
      <c r="F136" s="19">
        <v>8.5445959245329087E-4</v>
      </c>
      <c r="G136" s="16">
        <v>1.0503839928367258E-3</v>
      </c>
      <c r="H136" s="22">
        <v>4.0658630659087501E-3</v>
      </c>
      <c r="I136" s="25">
        <v>4.5075211209561102E-4</v>
      </c>
      <c r="J136" s="22">
        <v>1.386481802426343E-3</v>
      </c>
      <c r="K136" s="25">
        <v>1.0724148100485268E-3</v>
      </c>
      <c r="L136" s="22">
        <v>6.0251334136684446E-4</v>
      </c>
      <c r="M136" s="25">
        <v>2.1283671433322248E-4</v>
      </c>
      <c r="N136" s="19">
        <v>6.6338757971109768E-4</v>
      </c>
      <c r="O136" s="19">
        <v>7.3463197307929284E-4</v>
      </c>
      <c r="P136" s="16">
        <v>2.0046300487577763E-4</v>
      </c>
      <c r="Q136" s="19">
        <v>1.2276815500814003E-3</v>
      </c>
      <c r="R136" s="16">
        <v>3.2848226909838757E-4</v>
      </c>
      <c r="S136" s="25">
        <v>5.5388459878789442E-4</v>
      </c>
      <c r="T136" s="22">
        <v>1.9712899312575817E-3</v>
      </c>
      <c r="U136" s="25">
        <v>1.9735166793990321E-3</v>
      </c>
      <c r="V136" s="22">
        <v>7.9399587878329595E-4</v>
      </c>
      <c r="W136" s="25">
        <v>1.1291984339583763E-3</v>
      </c>
    </row>
    <row r="137" spans="1:23" x14ac:dyDescent="0.2">
      <c r="A137" s="6" t="s">
        <v>222</v>
      </c>
      <c r="B137" s="19">
        <v>8.3227563594055781E-2</v>
      </c>
      <c r="C137" s="16">
        <v>0.10791944821473087</v>
      </c>
      <c r="D137" s="19">
        <v>7.0946882217090099E-2</v>
      </c>
      <c r="E137" s="16">
        <v>8.5602689943280338E-2</v>
      </c>
      <c r="F137" s="19">
        <v>4.3577439215117822E-2</v>
      </c>
      <c r="G137" s="16">
        <v>0.11786685952405543</v>
      </c>
      <c r="H137" s="22">
        <v>9.2346649089259672E-2</v>
      </c>
      <c r="I137" s="25">
        <v>7.4837729239645601E-2</v>
      </c>
      <c r="J137" s="22">
        <v>7.2696973736835119E-2</v>
      </c>
      <c r="K137" s="25">
        <v>6.9941553392852338E-2</v>
      </c>
      <c r="L137" s="22">
        <v>5.3986425005533287E-2</v>
      </c>
      <c r="M137" s="25">
        <v>4.9477884935151317E-2</v>
      </c>
      <c r="N137" s="19">
        <v>7.1884917196081824E-2</v>
      </c>
      <c r="O137" s="19">
        <v>7.9877403352449583E-2</v>
      </c>
      <c r="P137" s="16">
        <v>0.10695024637549957</v>
      </c>
      <c r="Q137" s="19">
        <v>8.8419760335210457E-2</v>
      </c>
      <c r="R137" s="16">
        <v>0.11121981176537848</v>
      </c>
      <c r="S137" s="25">
        <v>4.784661260924726E-2</v>
      </c>
      <c r="T137" s="22">
        <v>5.8374191265669097E-2</v>
      </c>
      <c r="U137" s="25">
        <v>6.9130379424497082E-2</v>
      </c>
      <c r="V137" s="22">
        <v>7.6248810581570459E-2</v>
      </c>
      <c r="W137" s="25">
        <v>0.10218009478672978</v>
      </c>
    </row>
    <row r="138" spans="1:23" x14ac:dyDescent="0.2">
      <c r="A138" s="6" t="s">
        <v>221</v>
      </c>
      <c r="B138" s="19">
        <v>1.1899095668729176E-4</v>
      </c>
      <c r="C138" s="16">
        <v>0</v>
      </c>
      <c r="D138" s="19">
        <v>7.1060579143720015E-5</v>
      </c>
      <c r="E138" s="16">
        <v>4.0756716367218015E-5</v>
      </c>
      <c r="F138" s="19">
        <v>0</v>
      </c>
      <c r="G138" s="16">
        <v>4.3048524296587115E-5</v>
      </c>
      <c r="H138" s="22">
        <v>2.4799806822557382E-4</v>
      </c>
      <c r="I138" s="25">
        <v>2.4469400370904593E-4</v>
      </c>
      <c r="J138" s="22">
        <v>8.6655112651646451E-5</v>
      </c>
      <c r="K138" s="25">
        <v>1.4075444381886915E-4</v>
      </c>
      <c r="L138" s="22">
        <v>3.5658952856405086E-4</v>
      </c>
      <c r="M138" s="25">
        <v>8.7130029930162958E-4</v>
      </c>
      <c r="N138" s="19">
        <v>2.0917626387286864E-4</v>
      </c>
      <c r="O138" s="19">
        <v>8.6102026952304212E-4</v>
      </c>
      <c r="P138" s="16">
        <v>4.5265839810659458E-5</v>
      </c>
      <c r="Q138" s="19">
        <v>1.8682110544716965E-4</v>
      </c>
      <c r="R138" s="16">
        <v>3.5704594467216042E-5</v>
      </c>
      <c r="S138" s="25">
        <v>4.1219318979564235E-4</v>
      </c>
      <c r="T138" s="22">
        <v>1.4531945006065507E-4</v>
      </c>
      <c r="U138" s="25">
        <v>3.8197097020626432E-4</v>
      </c>
      <c r="V138" s="22">
        <v>8.1920209715736871E-5</v>
      </c>
      <c r="W138" s="25">
        <v>2.0605810838656503E-4</v>
      </c>
    </row>
    <row r="139" spans="1:23" x14ac:dyDescent="0.2">
      <c r="A139" s="6" t="s">
        <v>220</v>
      </c>
      <c r="B139" s="19">
        <v>0</v>
      </c>
      <c r="C139" s="16">
        <v>0</v>
      </c>
      <c r="D139" s="19">
        <v>1.0659086871558004E-4</v>
      </c>
      <c r="E139" s="16">
        <v>2.0378358183609007E-5</v>
      </c>
      <c r="F139" s="19">
        <v>0</v>
      </c>
      <c r="G139" s="16">
        <v>3.4438819437269692E-5</v>
      </c>
      <c r="H139" s="22">
        <v>0</v>
      </c>
      <c r="I139" s="25">
        <v>0</v>
      </c>
      <c r="J139" s="22">
        <v>4.666044527396347E-5</v>
      </c>
      <c r="K139" s="25">
        <v>0</v>
      </c>
      <c r="L139" s="22">
        <v>2.459238128027937E-5</v>
      </c>
      <c r="M139" s="25">
        <v>5.3209178583305619E-5</v>
      </c>
      <c r="N139" s="19">
        <v>2.2112919323703255E-4</v>
      </c>
      <c r="O139" s="19">
        <v>0</v>
      </c>
      <c r="P139" s="16">
        <v>0</v>
      </c>
      <c r="Q139" s="19">
        <v>0</v>
      </c>
      <c r="R139" s="16">
        <v>2.8563675573772835E-5</v>
      </c>
      <c r="S139" s="25">
        <v>0</v>
      </c>
      <c r="T139" s="22">
        <v>0</v>
      </c>
      <c r="U139" s="25">
        <v>1.2732365673542144E-5</v>
      </c>
      <c r="V139" s="22">
        <v>5.6713991341663988E-5</v>
      </c>
      <c r="W139" s="25">
        <v>0</v>
      </c>
    </row>
    <row r="140" spans="1:23" x14ac:dyDescent="0.2">
      <c r="A140" s="6" t="s">
        <v>219</v>
      </c>
      <c r="B140" s="19">
        <v>3.9663652229097259E-5</v>
      </c>
      <c r="C140" s="16">
        <v>0</v>
      </c>
      <c r="D140" s="19">
        <v>1.2790904245869604E-4</v>
      </c>
      <c r="E140" s="16">
        <v>8.151343273443603E-5</v>
      </c>
      <c r="F140" s="19">
        <v>0</v>
      </c>
      <c r="G140" s="16">
        <v>5.1658229155904537E-5</v>
      </c>
      <c r="H140" s="22">
        <v>5.2210119626436595E-5</v>
      </c>
      <c r="I140" s="25">
        <v>9.0150422419122192E-5</v>
      </c>
      <c r="J140" s="22">
        <v>8.6655112651646451E-5</v>
      </c>
      <c r="K140" s="25">
        <v>2.6140110994932842E-4</v>
      </c>
      <c r="L140" s="22">
        <v>3.0740476600349214E-5</v>
      </c>
      <c r="M140" s="25">
        <v>7.3162620552045231E-5</v>
      </c>
      <c r="N140" s="19">
        <v>0</v>
      </c>
      <c r="O140" s="19">
        <v>0</v>
      </c>
      <c r="P140" s="16">
        <v>6.4665485443799232E-5</v>
      </c>
      <c r="Q140" s="19">
        <v>2.4019856414636098E-4</v>
      </c>
      <c r="R140" s="16">
        <v>2.0708664790985301E-4</v>
      </c>
      <c r="S140" s="25">
        <v>1.3525089040169512E-4</v>
      </c>
      <c r="T140" s="22">
        <v>1.0172361504245857E-3</v>
      </c>
      <c r="U140" s="25">
        <v>8.2760376878023934E-5</v>
      </c>
      <c r="V140" s="22">
        <v>4.4110882154627547E-5</v>
      </c>
      <c r="W140" s="25">
        <v>5.5223573047599424E-4</v>
      </c>
    </row>
    <row r="141" spans="1:23" x14ac:dyDescent="0.2">
      <c r="A141" s="6" t="s">
        <v>218</v>
      </c>
      <c r="B141" s="19">
        <v>0</v>
      </c>
      <c r="C141" s="16">
        <v>9.6950222985512865E-5</v>
      </c>
      <c r="D141" s="19">
        <v>4.9742405400604016E-5</v>
      </c>
      <c r="E141" s="16">
        <v>0</v>
      </c>
      <c r="F141" s="19">
        <v>0</v>
      </c>
      <c r="G141" s="16">
        <v>0</v>
      </c>
      <c r="H141" s="22">
        <v>0</v>
      </c>
      <c r="I141" s="25">
        <v>0</v>
      </c>
      <c r="J141" s="22">
        <v>5.9992001066524464E-5</v>
      </c>
      <c r="K141" s="25">
        <v>1.0053888844204939E-4</v>
      </c>
      <c r="L141" s="22">
        <v>4.918476256055874E-5</v>
      </c>
      <c r="M141" s="25">
        <v>4.5892916528101095E-4</v>
      </c>
      <c r="N141" s="19">
        <v>1.4343515236996706E-4</v>
      </c>
      <c r="O141" s="19">
        <v>0</v>
      </c>
      <c r="P141" s="16">
        <v>0</v>
      </c>
      <c r="Q141" s="19">
        <v>0</v>
      </c>
      <c r="R141" s="16">
        <v>0</v>
      </c>
      <c r="S141" s="25">
        <v>9.7895882576465049E-4</v>
      </c>
      <c r="T141" s="22">
        <v>1.3015568135867368E-3</v>
      </c>
      <c r="U141" s="25">
        <v>8.339699516170104E-4</v>
      </c>
      <c r="V141" s="22">
        <v>0</v>
      </c>
      <c r="W141" s="25">
        <v>2.2254275705749021E-4</v>
      </c>
    </row>
    <row r="142" spans="1:23" x14ac:dyDescent="0.2">
      <c r="A142" s="6" t="s">
        <v>217</v>
      </c>
      <c r="B142" s="19">
        <v>0</v>
      </c>
      <c r="C142" s="16">
        <v>0</v>
      </c>
      <c r="D142" s="19">
        <v>0</v>
      </c>
      <c r="E142" s="16">
        <v>1.0189179091804504E-4</v>
      </c>
      <c r="F142" s="19">
        <v>0</v>
      </c>
      <c r="G142" s="16">
        <v>0</v>
      </c>
      <c r="H142" s="22">
        <v>3.5894457243175156E-4</v>
      </c>
      <c r="I142" s="25">
        <v>1.030290541932825E-4</v>
      </c>
      <c r="J142" s="22">
        <v>3.1995733902146379E-4</v>
      </c>
      <c r="K142" s="25">
        <v>3.5523740582857447E-4</v>
      </c>
      <c r="L142" s="22">
        <v>0</v>
      </c>
      <c r="M142" s="25">
        <v>1.3967409378117725E-4</v>
      </c>
      <c r="N142" s="19">
        <v>0</v>
      </c>
      <c r="O142" s="19">
        <v>0</v>
      </c>
      <c r="P142" s="16">
        <v>0</v>
      </c>
      <c r="Q142" s="19">
        <v>0</v>
      </c>
      <c r="R142" s="16">
        <v>4.9986432254102458E-5</v>
      </c>
      <c r="S142" s="25">
        <v>2.7694229939394721E-4</v>
      </c>
      <c r="T142" s="22">
        <v>5.0545895673271327E-5</v>
      </c>
      <c r="U142" s="25">
        <v>1.7825311942959001E-4</v>
      </c>
      <c r="V142" s="22">
        <v>3.3398239345646568E-4</v>
      </c>
      <c r="W142" s="25">
        <v>2.8848135174119102E-4</v>
      </c>
    </row>
    <row r="143" spans="1:23" x14ac:dyDescent="0.2">
      <c r="A143" s="6" t="s">
        <v>216</v>
      </c>
      <c r="B143" s="19">
        <v>7.9327304458194517E-5</v>
      </c>
      <c r="C143" s="16">
        <v>0</v>
      </c>
      <c r="D143" s="19">
        <v>1.1369692662995204E-4</v>
      </c>
      <c r="E143" s="16">
        <v>4.0756716367218015E-5</v>
      </c>
      <c r="F143" s="19">
        <v>1.3198349062001724E-3</v>
      </c>
      <c r="G143" s="16">
        <v>2.23852326342253E-4</v>
      </c>
      <c r="H143" s="22">
        <v>2.6105059813218297E-5</v>
      </c>
      <c r="I143" s="25">
        <v>3.8635895322480941E-5</v>
      </c>
      <c r="J143" s="22">
        <v>1.9330755899213436E-4</v>
      </c>
      <c r="K143" s="25">
        <v>1.1394407356765597E-4</v>
      </c>
      <c r="L143" s="22">
        <v>2.459238128027937E-5</v>
      </c>
      <c r="M143" s="25">
        <v>2.7934818756235449E-4</v>
      </c>
      <c r="N143" s="19">
        <v>0</v>
      </c>
      <c r="O143" s="19">
        <v>4.7395611166405993E-5</v>
      </c>
      <c r="P143" s="16">
        <v>3.2332742721899609E-5</v>
      </c>
      <c r="Q143" s="19">
        <v>6.9390696308948728E-4</v>
      </c>
      <c r="R143" s="16">
        <v>1.1425470229509134E-4</v>
      </c>
      <c r="S143" s="25">
        <v>3.0270437375617482E-4</v>
      </c>
      <c r="T143" s="22">
        <v>3.1591184795794582E-5</v>
      </c>
      <c r="U143" s="25">
        <v>6.3661828367710715E-5</v>
      </c>
      <c r="V143" s="22">
        <v>4.0960104857868437E-4</v>
      </c>
      <c r="W143" s="25">
        <v>0</v>
      </c>
    </row>
    <row r="144" spans="1:23" x14ac:dyDescent="0.2">
      <c r="A144" s="6" t="s">
        <v>215</v>
      </c>
      <c r="B144" s="19">
        <v>0</v>
      </c>
      <c r="C144" s="16">
        <v>0</v>
      </c>
      <c r="D144" s="19">
        <v>0</v>
      </c>
      <c r="E144" s="16">
        <v>0</v>
      </c>
      <c r="F144" s="19">
        <v>0</v>
      </c>
      <c r="G144" s="16">
        <v>0</v>
      </c>
      <c r="H144" s="22">
        <v>9.1367709346264041E-5</v>
      </c>
      <c r="I144" s="25">
        <v>6.56810220482176E-4</v>
      </c>
      <c r="J144" s="22">
        <v>4.666044527396347E-5</v>
      </c>
      <c r="K144" s="25">
        <v>0</v>
      </c>
      <c r="L144" s="22">
        <v>2.0903524088237464E-4</v>
      </c>
      <c r="M144" s="25">
        <v>1.8623212504156967E-4</v>
      </c>
      <c r="N144" s="19">
        <v>0</v>
      </c>
      <c r="O144" s="19">
        <v>0</v>
      </c>
      <c r="P144" s="16">
        <v>0</v>
      </c>
      <c r="Q144" s="19">
        <v>0</v>
      </c>
      <c r="R144" s="16">
        <v>0</v>
      </c>
      <c r="S144" s="25">
        <v>1.017601937307992E-3</v>
      </c>
      <c r="T144" s="22">
        <v>1.2004650222401941E-4</v>
      </c>
      <c r="U144" s="25">
        <v>6.3661828367710715E-5</v>
      </c>
      <c r="V144" s="22">
        <v>0</v>
      </c>
      <c r="W144" s="25">
        <v>0</v>
      </c>
    </row>
    <row r="145" spans="1:23" x14ac:dyDescent="0.2">
      <c r="A145" s="6" t="s">
        <v>214</v>
      </c>
      <c r="B145" s="19">
        <v>0</v>
      </c>
      <c r="C145" s="16">
        <v>2.7700063710146532E-5</v>
      </c>
      <c r="D145" s="19">
        <v>4.2636347486232012E-5</v>
      </c>
      <c r="E145" s="16">
        <v>4.0756716367218015E-5</v>
      </c>
      <c r="F145" s="19">
        <v>0</v>
      </c>
      <c r="G145" s="16">
        <v>2.5829114577952269E-5</v>
      </c>
      <c r="H145" s="22">
        <v>0</v>
      </c>
      <c r="I145" s="25">
        <v>0</v>
      </c>
      <c r="J145" s="22">
        <v>0</v>
      </c>
      <c r="K145" s="25">
        <v>0</v>
      </c>
      <c r="L145" s="22">
        <v>7.3777143840838107E-5</v>
      </c>
      <c r="M145" s="25">
        <v>0</v>
      </c>
      <c r="N145" s="19">
        <v>2.3905858728327845E-5</v>
      </c>
      <c r="O145" s="19">
        <v>0</v>
      </c>
      <c r="P145" s="16">
        <v>0</v>
      </c>
      <c r="Q145" s="19">
        <v>0</v>
      </c>
      <c r="R145" s="16">
        <v>0</v>
      </c>
      <c r="S145" s="25">
        <v>0</v>
      </c>
      <c r="T145" s="22">
        <v>3.7909421754953497E-5</v>
      </c>
      <c r="U145" s="25">
        <v>0</v>
      </c>
      <c r="V145" s="22">
        <v>0</v>
      </c>
      <c r="W145" s="25">
        <v>0</v>
      </c>
    </row>
    <row r="146" spans="1:23" x14ac:dyDescent="0.2">
      <c r="A146" s="6" t="s">
        <v>213</v>
      </c>
      <c r="B146" s="19">
        <v>2.9318049606007729E-2</v>
      </c>
      <c r="C146" s="16">
        <v>3.826071299963988E-2</v>
      </c>
      <c r="D146" s="19">
        <v>4.4967134482146023E-2</v>
      </c>
      <c r="E146" s="16">
        <v>3.6388954929864478E-2</v>
      </c>
      <c r="F146" s="19">
        <v>3.3995285214034505E-2</v>
      </c>
      <c r="G146" s="16">
        <v>2.3228983710438415E-2</v>
      </c>
      <c r="H146" s="22">
        <v>3.2735745005775752E-2</v>
      </c>
      <c r="I146" s="25">
        <v>3.1340150422419111E-2</v>
      </c>
      <c r="J146" s="22">
        <v>4.0034662045060655E-2</v>
      </c>
      <c r="K146" s="25">
        <v>4.2635191291991739E-2</v>
      </c>
      <c r="L146" s="22">
        <v>2.5164154145045858E-2</v>
      </c>
      <c r="M146" s="25">
        <v>2.4682407715330892E-2</v>
      </c>
      <c r="N146" s="19">
        <v>2.5949809649599864E-2</v>
      </c>
      <c r="O146" s="19">
        <v>4.016778046352909E-2</v>
      </c>
      <c r="P146" s="16">
        <v>2.5710997012454575E-2</v>
      </c>
      <c r="Q146" s="19">
        <v>3.8325015346019377E-2</v>
      </c>
      <c r="R146" s="16">
        <v>3.1170110969879591E-2</v>
      </c>
      <c r="S146" s="25">
        <v>2.4345160272305127E-2</v>
      </c>
      <c r="T146" s="22">
        <v>3.6051860088960726E-2</v>
      </c>
      <c r="U146" s="25">
        <v>4.1984975808505229E-2</v>
      </c>
      <c r="V146" s="22">
        <v>3.7550963822775084E-2</v>
      </c>
      <c r="W146" s="25">
        <v>4.236554708427779E-2</v>
      </c>
    </row>
    <row r="147" spans="1:23" x14ac:dyDescent="0.2">
      <c r="A147" s="6" t="s">
        <v>212</v>
      </c>
      <c r="B147" s="19">
        <v>2.8650378126817921E-2</v>
      </c>
      <c r="C147" s="16">
        <v>2.5082407689537674E-2</v>
      </c>
      <c r="D147" s="19">
        <v>1.5590691064132176E-2</v>
      </c>
      <c r="E147" s="16">
        <v>2.4229867880311118E-2</v>
      </c>
      <c r="F147" s="19">
        <v>2.660268391861273E-2</v>
      </c>
      <c r="G147" s="16">
        <v>1.3052312566725215E-2</v>
      </c>
      <c r="H147" s="22">
        <v>2.4349494540779379E-2</v>
      </c>
      <c r="I147" s="25">
        <v>1.7927055429631165E-2</v>
      </c>
      <c r="J147" s="22">
        <v>2.7916277829622714E-2</v>
      </c>
      <c r="K147" s="25">
        <v>1.8914716212230887E-2</v>
      </c>
      <c r="L147" s="22">
        <v>3.5185549516759701E-2</v>
      </c>
      <c r="M147" s="25">
        <v>2.0638510142999673E-2</v>
      </c>
      <c r="N147" s="19">
        <v>1.6991089091159019E-2</v>
      </c>
      <c r="O147" s="19">
        <v>1.901353934625653E-2</v>
      </c>
      <c r="P147" s="16">
        <v>1.8765923875790548E-2</v>
      </c>
      <c r="Q147" s="19">
        <v>1.9175852037684484E-2</v>
      </c>
      <c r="R147" s="16">
        <v>1.5581485025493075E-2</v>
      </c>
      <c r="S147" s="25">
        <v>2.120218720011335E-2</v>
      </c>
      <c r="T147" s="22">
        <v>1.7640517589971687E-2</v>
      </c>
      <c r="U147" s="25">
        <v>2.3510313216195563E-2</v>
      </c>
      <c r="V147" s="22">
        <v>1.722845025867881E-2</v>
      </c>
      <c r="W147" s="25">
        <v>1.8759530187512877E-2</v>
      </c>
    </row>
    <row r="148" spans="1:23" x14ac:dyDescent="0.2">
      <c r="A148" s="6" t="s">
        <v>211</v>
      </c>
      <c r="B148" s="19">
        <v>0</v>
      </c>
      <c r="C148" s="16">
        <v>0</v>
      </c>
      <c r="D148" s="19">
        <v>0</v>
      </c>
      <c r="E148" s="16">
        <v>0</v>
      </c>
      <c r="F148" s="19">
        <v>0</v>
      </c>
      <c r="G148" s="16">
        <v>0</v>
      </c>
      <c r="H148" s="22">
        <v>0</v>
      </c>
      <c r="I148" s="25">
        <v>0</v>
      </c>
      <c r="J148" s="22">
        <v>0</v>
      </c>
      <c r="K148" s="25">
        <v>2.6810370251213168E-5</v>
      </c>
      <c r="L148" s="22">
        <v>0</v>
      </c>
      <c r="M148" s="25">
        <v>0</v>
      </c>
      <c r="N148" s="19">
        <v>0</v>
      </c>
      <c r="O148" s="19">
        <v>0</v>
      </c>
      <c r="P148" s="16">
        <v>0</v>
      </c>
      <c r="Q148" s="19">
        <v>0</v>
      </c>
      <c r="R148" s="16">
        <v>0</v>
      </c>
      <c r="S148" s="25">
        <v>1.2881037181113824E-5</v>
      </c>
      <c r="T148" s="22">
        <v>0</v>
      </c>
      <c r="U148" s="25">
        <v>0</v>
      </c>
      <c r="V148" s="22">
        <v>0</v>
      </c>
      <c r="W148" s="25">
        <v>0</v>
      </c>
    </row>
    <row r="149" spans="1:23" x14ac:dyDescent="0.2">
      <c r="A149" s="6" t="s">
        <v>210</v>
      </c>
      <c r="B149" s="19">
        <v>1.2560156539214131E-4</v>
      </c>
      <c r="C149" s="16">
        <v>8.3100191130439601E-5</v>
      </c>
      <c r="D149" s="19">
        <v>2.2028779534553206E-4</v>
      </c>
      <c r="E149" s="16">
        <v>1.3585572122406004E-4</v>
      </c>
      <c r="F149" s="19">
        <v>6.8661931536425158E-5</v>
      </c>
      <c r="G149" s="16">
        <v>6.8877638874539383E-5</v>
      </c>
      <c r="H149" s="22">
        <v>1.1094650420617776E-4</v>
      </c>
      <c r="I149" s="25">
        <v>0</v>
      </c>
      <c r="J149" s="22">
        <v>3.9994667377682974E-5</v>
      </c>
      <c r="K149" s="25">
        <v>8.0431110753639512E-5</v>
      </c>
      <c r="L149" s="22">
        <v>2.1518333620244449E-4</v>
      </c>
      <c r="M149" s="25">
        <v>1.5962753574991686E-4</v>
      </c>
      <c r="N149" s="19">
        <v>5.9764646820819608E-5</v>
      </c>
      <c r="O149" s="19">
        <v>1.8958244466562397E-4</v>
      </c>
      <c r="P149" s="16">
        <v>7.7598582532559067E-5</v>
      </c>
      <c r="Q149" s="19">
        <v>3.736422108943393E-4</v>
      </c>
      <c r="R149" s="16">
        <v>2.3565032348362588E-4</v>
      </c>
      <c r="S149" s="25">
        <v>0</v>
      </c>
      <c r="T149" s="22">
        <v>3.538212697128993E-4</v>
      </c>
      <c r="U149" s="25">
        <v>8.2760376878023934E-5</v>
      </c>
      <c r="V149" s="22">
        <v>2.5206218374072882E-5</v>
      </c>
      <c r="W149" s="25">
        <v>0</v>
      </c>
    </row>
    <row r="150" spans="1:23" x14ac:dyDescent="0.2">
      <c r="A150" s="6" t="s">
        <v>209</v>
      </c>
      <c r="B150" s="19">
        <v>4.0192500925485229E-3</v>
      </c>
      <c r="C150" s="16">
        <v>1.1218525802609346E-3</v>
      </c>
      <c r="D150" s="19">
        <v>4.4697104281399896E-3</v>
      </c>
      <c r="E150" s="16">
        <v>3.2061950208878177E-3</v>
      </c>
      <c r="F150" s="19">
        <v>3.1889652646917462E-3</v>
      </c>
      <c r="G150" s="16">
        <v>2.9875675861831459E-3</v>
      </c>
      <c r="H150" s="22">
        <v>1.0167920797248523E-2</v>
      </c>
      <c r="I150" s="25">
        <v>1.5776323923346386E-3</v>
      </c>
      <c r="J150" s="22">
        <v>7.265697906945742E-4</v>
      </c>
      <c r="K150" s="25">
        <v>3.3512962814016459E-4</v>
      </c>
      <c r="L150" s="22">
        <v>2.0596119322233973E-3</v>
      </c>
      <c r="M150" s="25">
        <v>2.0352510808114396E-3</v>
      </c>
      <c r="N150" s="19">
        <v>4.4345367941048151E-3</v>
      </c>
      <c r="O150" s="19">
        <v>9.1789500292272907E-3</v>
      </c>
      <c r="P150" s="16">
        <v>1.9334980147695971E-3</v>
      </c>
      <c r="Q150" s="19">
        <v>2.9224158637807256E-3</v>
      </c>
      <c r="R150" s="16">
        <v>2.0280209657378709E-3</v>
      </c>
      <c r="S150" s="25">
        <v>2.5762074362227646E-4</v>
      </c>
      <c r="T150" s="22">
        <v>5.0798625151637685E-3</v>
      </c>
      <c r="U150" s="25">
        <v>1.884390119684237E-3</v>
      </c>
      <c r="V150" s="22">
        <v>2.1110207888286039E-3</v>
      </c>
      <c r="W150" s="25">
        <v>5.2750875746960645E-4</v>
      </c>
    </row>
    <row r="151" spans="1:23" x14ac:dyDescent="0.2">
      <c r="A151" s="6" t="s">
        <v>208</v>
      </c>
      <c r="B151" s="19">
        <v>0</v>
      </c>
      <c r="C151" s="16">
        <v>0</v>
      </c>
      <c r="D151" s="19">
        <v>0</v>
      </c>
      <c r="E151" s="16">
        <v>0</v>
      </c>
      <c r="F151" s="19">
        <v>0</v>
      </c>
      <c r="G151" s="16">
        <v>4.3048524296587115E-5</v>
      </c>
      <c r="H151" s="22">
        <v>0</v>
      </c>
      <c r="I151" s="25">
        <v>0</v>
      </c>
      <c r="J151" s="22">
        <v>0</v>
      </c>
      <c r="K151" s="25">
        <v>0</v>
      </c>
      <c r="L151" s="22">
        <v>0</v>
      </c>
      <c r="M151" s="25">
        <v>0</v>
      </c>
      <c r="N151" s="19">
        <v>0</v>
      </c>
      <c r="O151" s="19">
        <v>0</v>
      </c>
      <c r="P151" s="16">
        <v>0</v>
      </c>
      <c r="Q151" s="19">
        <v>0</v>
      </c>
      <c r="R151" s="16">
        <v>0</v>
      </c>
      <c r="S151" s="25">
        <v>0</v>
      </c>
      <c r="T151" s="22">
        <v>5.6864132632430249E-5</v>
      </c>
      <c r="U151" s="25">
        <v>0</v>
      </c>
      <c r="V151" s="22">
        <v>0</v>
      </c>
      <c r="W151" s="25">
        <v>0</v>
      </c>
    </row>
    <row r="152" spans="1:23" x14ac:dyDescent="0.2">
      <c r="A152" s="6" t="s">
        <v>207</v>
      </c>
      <c r="B152" s="19">
        <v>2.1153947855518537E-4</v>
      </c>
      <c r="C152" s="16">
        <v>1.8697543004348911E-4</v>
      </c>
      <c r="D152" s="19">
        <v>1.5349085095043527E-3</v>
      </c>
      <c r="E152" s="16">
        <v>8.8985497401759329E-4</v>
      </c>
      <c r="F152" s="19">
        <v>3.4330965768212575E-4</v>
      </c>
      <c r="G152" s="16">
        <v>7.7487343733856806E-4</v>
      </c>
      <c r="H152" s="22">
        <v>6.1999517056393464E-4</v>
      </c>
      <c r="I152" s="25">
        <v>6.439315887080157E-5</v>
      </c>
      <c r="J152" s="22">
        <v>3.599520063991467E-4</v>
      </c>
      <c r="K152" s="25">
        <v>8.5122925547601817E-4</v>
      </c>
      <c r="L152" s="22">
        <v>5.5332857880628587E-5</v>
      </c>
      <c r="M152" s="25">
        <v>7.9813767874958432E-5</v>
      </c>
      <c r="N152" s="19">
        <v>4.7811717456655686E-4</v>
      </c>
      <c r="O152" s="19">
        <v>9.558114918558541E-4</v>
      </c>
      <c r="P152" s="16">
        <v>1.5778378448287015E-3</v>
      </c>
      <c r="Q152" s="19">
        <v>1.2543702794309962E-3</v>
      </c>
      <c r="R152" s="16">
        <v>1.3639155086476525E-3</v>
      </c>
      <c r="S152" s="25">
        <v>1.0884476418041181E-3</v>
      </c>
      <c r="T152" s="22">
        <v>3.1591184795794582E-5</v>
      </c>
      <c r="U152" s="25">
        <v>6.6844919786096264E-4</v>
      </c>
      <c r="V152" s="22">
        <v>4.6001348532683016E-4</v>
      </c>
      <c r="W152" s="25">
        <v>3.0414176797857002E-3</v>
      </c>
    </row>
    <row r="153" spans="1:23" x14ac:dyDescent="0.2">
      <c r="A153" s="6" t="s">
        <v>206</v>
      </c>
      <c r="B153" s="19">
        <v>1.9831826114548629E-5</v>
      </c>
      <c r="C153" s="16">
        <v>0</v>
      </c>
      <c r="D153" s="19">
        <v>0</v>
      </c>
      <c r="E153" s="16">
        <v>3.396393030601501E-5</v>
      </c>
      <c r="F153" s="19">
        <v>0</v>
      </c>
      <c r="G153" s="16">
        <v>1.0331645831180907E-4</v>
      </c>
      <c r="H153" s="22">
        <v>5.2210119626436595E-5</v>
      </c>
      <c r="I153" s="25">
        <v>0</v>
      </c>
      <c r="J153" s="22">
        <v>0</v>
      </c>
      <c r="K153" s="25">
        <v>0</v>
      </c>
      <c r="L153" s="22">
        <v>2.459238128027937E-5</v>
      </c>
      <c r="M153" s="25">
        <v>0</v>
      </c>
      <c r="N153" s="19">
        <v>6.2752879161860587E-4</v>
      </c>
      <c r="O153" s="19">
        <v>3.9496342638671656E-5</v>
      </c>
      <c r="P153" s="16">
        <v>0</v>
      </c>
      <c r="Q153" s="19">
        <v>0</v>
      </c>
      <c r="R153" s="16">
        <v>0</v>
      </c>
      <c r="S153" s="25">
        <v>0</v>
      </c>
      <c r="T153" s="22">
        <v>0</v>
      </c>
      <c r="U153" s="25">
        <v>0</v>
      </c>
      <c r="V153" s="22">
        <v>3.1507772967591106E-5</v>
      </c>
      <c r="W153" s="25">
        <v>3.2969297341850403E-5</v>
      </c>
    </row>
    <row r="154" spans="1:23" x14ac:dyDescent="0.2">
      <c r="A154" s="6" t="s">
        <v>205</v>
      </c>
      <c r="B154" s="19">
        <v>0</v>
      </c>
      <c r="C154" s="16">
        <v>0</v>
      </c>
      <c r="D154" s="19">
        <v>0</v>
      </c>
      <c r="E154" s="16">
        <v>0</v>
      </c>
      <c r="F154" s="19">
        <v>0</v>
      </c>
      <c r="G154" s="16">
        <v>0</v>
      </c>
      <c r="H154" s="22">
        <v>8.4841444392959466E-5</v>
      </c>
      <c r="I154" s="25">
        <v>0</v>
      </c>
      <c r="J154" s="22">
        <v>0</v>
      </c>
      <c r="K154" s="25">
        <v>0</v>
      </c>
      <c r="L154" s="22">
        <v>0</v>
      </c>
      <c r="M154" s="25">
        <v>2.660458929165281E-5</v>
      </c>
      <c r="N154" s="19">
        <v>0</v>
      </c>
      <c r="O154" s="19">
        <v>0</v>
      </c>
      <c r="P154" s="16">
        <v>0</v>
      </c>
      <c r="Q154" s="19">
        <v>0</v>
      </c>
      <c r="R154" s="16">
        <v>0</v>
      </c>
      <c r="S154" s="25">
        <v>0</v>
      </c>
      <c r="T154" s="22">
        <v>8.8455317428224825E-5</v>
      </c>
      <c r="U154" s="25">
        <v>8.2760376878023934E-5</v>
      </c>
      <c r="V154" s="22">
        <v>3.7809327561109323E-5</v>
      </c>
      <c r="W154" s="25">
        <v>3.2969297341850403E-5</v>
      </c>
    </row>
    <row r="155" spans="1:23" x14ac:dyDescent="0.2">
      <c r="A155" s="6" t="s">
        <v>204</v>
      </c>
      <c r="B155" s="19">
        <v>0</v>
      </c>
      <c r="C155" s="16">
        <v>0</v>
      </c>
      <c r="D155" s="19">
        <v>0</v>
      </c>
      <c r="E155" s="16">
        <v>0</v>
      </c>
      <c r="F155" s="19">
        <v>0</v>
      </c>
      <c r="G155" s="16">
        <v>0</v>
      </c>
      <c r="H155" s="22">
        <v>0</v>
      </c>
      <c r="I155" s="25">
        <v>0</v>
      </c>
      <c r="J155" s="22">
        <v>0</v>
      </c>
      <c r="K155" s="25">
        <v>0</v>
      </c>
      <c r="L155" s="22">
        <v>0</v>
      </c>
      <c r="M155" s="25">
        <v>0</v>
      </c>
      <c r="N155" s="19">
        <v>0</v>
      </c>
      <c r="O155" s="19">
        <v>0</v>
      </c>
      <c r="P155" s="16">
        <v>0</v>
      </c>
      <c r="Q155" s="19">
        <v>2.6688729349595664E-5</v>
      </c>
      <c r="R155" s="16">
        <v>0</v>
      </c>
      <c r="S155" s="25">
        <v>0</v>
      </c>
      <c r="T155" s="22">
        <v>0</v>
      </c>
      <c r="U155" s="25">
        <v>0</v>
      </c>
      <c r="V155" s="22">
        <v>0</v>
      </c>
      <c r="W155" s="25">
        <v>0</v>
      </c>
    </row>
    <row r="156" spans="1:23" x14ac:dyDescent="0.2">
      <c r="A156" s="6" t="s">
        <v>203</v>
      </c>
      <c r="B156" s="19">
        <v>1.1304140885292715E-3</v>
      </c>
      <c r="C156" s="16">
        <v>1.6550788066812554E-3</v>
      </c>
      <c r="D156" s="19">
        <v>2.359211227571505E-3</v>
      </c>
      <c r="E156" s="16">
        <v>1.4808273613422544E-3</v>
      </c>
      <c r="F156" s="19">
        <v>1.6707736673863456E-3</v>
      </c>
      <c r="G156" s="16">
        <v>1.8424768398939285E-3</v>
      </c>
      <c r="H156" s="22">
        <v>3.1065021177729768E-3</v>
      </c>
      <c r="I156" s="25">
        <v>3.8442715845868549E-3</v>
      </c>
      <c r="J156" s="22">
        <v>4.1127849620050672E-3</v>
      </c>
      <c r="K156" s="25">
        <v>4.0014477599935655E-3</v>
      </c>
      <c r="L156" s="22">
        <v>3.4613776651993213E-3</v>
      </c>
      <c r="M156" s="25">
        <v>2.5008313934153643E-3</v>
      </c>
      <c r="N156" s="19">
        <v>2.6176915307518991E-3</v>
      </c>
      <c r="O156" s="19">
        <v>5.4504952841366895E-3</v>
      </c>
      <c r="P156" s="16">
        <v>1.5584381991955612E-3</v>
      </c>
      <c r="Q156" s="19">
        <v>2.4820518295123961E-3</v>
      </c>
      <c r="R156" s="16">
        <v>1.5495793998771758E-3</v>
      </c>
      <c r="S156" s="25">
        <v>4.7659837570121124E-3</v>
      </c>
      <c r="T156" s="22">
        <v>2.7610695511524471E-3</v>
      </c>
      <c r="U156" s="25">
        <v>7.5502928444104913E-3</v>
      </c>
      <c r="V156" s="22">
        <v>3.9321700663553696E-3</v>
      </c>
      <c r="W156" s="25">
        <v>4.516793735833506E-3</v>
      </c>
    </row>
    <row r="157" spans="1:23" x14ac:dyDescent="0.2">
      <c r="A157" s="6" t="s">
        <v>202</v>
      </c>
      <c r="B157" s="19">
        <v>4.6274260933946797E-5</v>
      </c>
      <c r="C157" s="16">
        <v>0</v>
      </c>
      <c r="D157" s="19">
        <v>0</v>
      </c>
      <c r="E157" s="16">
        <v>0</v>
      </c>
      <c r="F157" s="19">
        <v>0</v>
      </c>
      <c r="G157" s="16">
        <v>0</v>
      </c>
      <c r="H157" s="22">
        <v>9.7893974299568615E-5</v>
      </c>
      <c r="I157" s="25">
        <v>0</v>
      </c>
      <c r="J157" s="22">
        <v>3.9994667377682974E-5</v>
      </c>
      <c r="K157" s="25">
        <v>4.0215555376819756E-5</v>
      </c>
      <c r="L157" s="22">
        <v>0</v>
      </c>
      <c r="M157" s="25">
        <v>0</v>
      </c>
      <c r="N157" s="19">
        <v>0</v>
      </c>
      <c r="O157" s="19">
        <v>0</v>
      </c>
      <c r="P157" s="16">
        <v>5.8198936899419307E-5</v>
      </c>
      <c r="Q157" s="19">
        <v>9.3410552723584826E-5</v>
      </c>
      <c r="R157" s="16">
        <v>0</v>
      </c>
      <c r="S157" s="25">
        <v>5.1524148724455294E-5</v>
      </c>
      <c r="T157" s="22">
        <v>0</v>
      </c>
      <c r="U157" s="25">
        <v>0</v>
      </c>
      <c r="V157" s="22">
        <v>0</v>
      </c>
      <c r="W157" s="25">
        <v>6.5938594683700807E-5</v>
      </c>
    </row>
    <row r="158" spans="1:23" x14ac:dyDescent="0.2">
      <c r="A158" s="6" t="s">
        <v>201</v>
      </c>
      <c r="B158" s="19">
        <v>1.3221217409699085E-4</v>
      </c>
      <c r="C158" s="16">
        <v>2.7700063710146532E-5</v>
      </c>
      <c r="D158" s="19">
        <v>7.1060579143720015E-5</v>
      </c>
      <c r="E158" s="16">
        <v>5.4342288489624017E-5</v>
      </c>
      <c r="F158" s="19">
        <v>0</v>
      </c>
      <c r="G158" s="16">
        <v>0</v>
      </c>
      <c r="H158" s="22">
        <v>3.9157589719827446E-5</v>
      </c>
      <c r="I158" s="25">
        <v>0</v>
      </c>
      <c r="J158" s="22">
        <v>1.5331289161445142E-4</v>
      </c>
      <c r="K158" s="25">
        <v>0</v>
      </c>
      <c r="L158" s="22">
        <v>3.0740476600349214E-5</v>
      </c>
      <c r="M158" s="25">
        <v>0</v>
      </c>
      <c r="N158" s="19">
        <v>0</v>
      </c>
      <c r="O158" s="19">
        <v>0</v>
      </c>
      <c r="P158" s="16">
        <v>2.5866194177519691E-5</v>
      </c>
      <c r="Q158" s="19">
        <v>1.0675491739838266E-4</v>
      </c>
      <c r="R158" s="16">
        <v>7.1409188934432085E-5</v>
      </c>
      <c r="S158" s="25">
        <v>2.5762074362227647E-5</v>
      </c>
      <c r="T158" s="22">
        <v>2.5272947836635664E-5</v>
      </c>
      <c r="U158" s="25">
        <v>0</v>
      </c>
      <c r="V158" s="22">
        <v>6.9317100528700436E-5</v>
      </c>
      <c r="W158" s="25">
        <v>6.5938594683700807E-5</v>
      </c>
    </row>
    <row r="159" spans="1:23" x14ac:dyDescent="0.2">
      <c r="A159" s="6" t="s">
        <v>200</v>
      </c>
      <c r="B159" s="19">
        <v>4.6274260933946797E-5</v>
      </c>
      <c r="C159" s="16">
        <v>0</v>
      </c>
      <c r="D159" s="19">
        <v>0</v>
      </c>
      <c r="E159" s="16">
        <v>0</v>
      </c>
      <c r="F159" s="19">
        <v>2.3650220862546443E-4</v>
      </c>
      <c r="G159" s="16">
        <v>0</v>
      </c>
      <c r="H159" s="22">
        <v>6.5262649533045743E-5</v>
      </c>
      <c r="I159" s="25">
        <v>0</v>
      </c>
      <c r="J159" s="22">
        <v>1.9997333688841487E-5</v>
      </c>
      <c r="K159" s="25">
        <v>0</v>
      </c>
      <c r="L159" s="22">
        <v>0</v>
      </c>
      <c r="M159" s="25">
        <v>3.3255736614566014E-5</v>
      </c>
      <c r="N159" s="19">
        <v>1.0159989959539334E-4</v>
      </c>
      <c r="O159" s="19">
        <v>5.5294879694140323E-5</v>
      </c>
      <c r="P159" s="16">
        <v>1.2286442234321854E-4</v>
      </c>
      <c r="Q159" s="19">
        <v>0</v>
      </c>
      <c r="R159" s="16">
        <v>3.5704594467216038E-4</v>
      </c>
      <c r="S159" s="25">
        <v>1.0948881603946749E-4</v>
      </c>
      <c r="T159" s="22">
        <v>0</v>
      </c>
      <c r="U159" s="25">
        <v>1.9098548510313215E-5</v>
      </c>
      <c r="V159" s="22">
        <v>3.7809327561109323E-5</v>
      </c>
      <c r="W159" s="25">
        <v>4.8629713579229344E-4</v>
      </c>
    </row>
    <row r="160" spans="1:23" x14ac:dyDescent="0.2">
      <c r="A160" s="6" t="s">
        <v>199</v>
      </c>
      <c r="B160" s="19">
        <v>6.8089269659950312E-3</v>
      </c>
      <c r="C160" s="16">
        <v>1.6917813910971989E-2</v>
      </c>
      <c r="D160" s="19">
        <v>2.9056670811867118E-2</v>
      </c>
      <c r="E160" s="16">
        <v>3.2157049213735016E-2</v>
      </c>
      <c r="F160" s="19">
        <v>1.4319827277096672E-2</v>
      </c>
      <c r="G160" s="16">
        <v>9.1262871508764713E-3</v>
      </c>
      <c r="H160" s="22">
        <v>2.5511169702467581E-2</v>
      </c>
      <c r="I160" s="25">
        <v>2.9704564187100772E-2</v>
      </c>
      <c r="J160" s="22">
        <v>0.1010398613518198</v>
      </c>
      <c r="K160" s="25">
        <v>5.5624815678704517E-2</v>
      </c>
      <c r="L160" s="22">
        <v>2.585888891621373E-2</v>
      </c>
      <c r="M160" s="25">
        <v>0.06</v>
      </c>
      <c r="N160" s="19">
        <v>1.9614757086593E-2</v>
      </c>
      <c r="O160" s="19">
        <v>9.5739134556140065E-3</v>
      </c>
      <c r="P160" s="16">
        <v>6.5622534628367438E-2</v>
      </c>
      <c r="Q160" s="19">
        <v>2.0483599775814661E-2</v>
      </c>
      <c r="R160" s="16">
        <v>2.6685613904797262E-2</v>
      </c>
      <c r="S160" s="25">
        <v>8.7539528682849505E-2</v>
      </c>
      <c r="T160" s="22">
        <v>1.335675293166194E-2</v>
      </c>
      <c r="U160" s="25">
        <v>2.6680672268907558E-2</v>
      </c>
      <c r="V160" s="22">
        <v>0.16876193356901151</v>
      </c>
      <c r="W160" s="25">
        <v>3.4189161343498871E-2</v>
      </c>
    </row>
    <row r="161" spans="1:23" x14ac:dyDescent="0.2">
      <c r="A161" s="6" t="s">
        <v>198</v>
      </c>
      <c r="B161" s="19">
        <v>0</v>
      </c>
      <c r="C161" s="16">
        <v>0</v>
      </c>
      <c r="D161" s="19">
        <v>0</v>
      </c>
      <c r="E161" s="16">
        <v>0</v>
      </c>
      <c r="F161" s="19">
        <v>0</v>
      </c>
      <c r="G161" s="16">
        <v>2.5829114577952269E-5</v>
      </c>
      <c r="H161" s="22">
        <v>0</v>
      </c>
      <c r="I161" s="25">
        <v>0</v>
      </c>
      <c r="J161" s="22">
        <v>0</v>
      </c>
      <c r="K161" s="25">
        <v>0</v>
      </c>
      <c r="L161" s="22">
        <v>0</v>
      </c>
      <c r="M161" s="25">
        <v>0</v>
      </c>
      <c r="N161" s="19">
        <v>0</v>
      </c>
      <c r="O161" s="19">
        <v>0</v>
      </c>
      <c r="P161" s="16">
        <v>0</v>
      </c>
      <c r="Q161" s="19">
        <v>0</v>
      </c>
      <c r="R161" s="16">
        <v>0</v>
      </c>
      <c r="S161" s="25">
        <v>0</v>
      </c>
      <c r="T161" s="22">
        <v>0</v>
      </c>
      <c r="U161" s="25">
        <v>0</v>
      </c>
      <c r="V161" s="22">
        <v>0</v>
      </c>
      <c r="W161" s="25">
        <v>0</v>
      </c>
    </row>
    <row r="162" spans="1:23" x14ac:dyDescent="0.2">
      <c r="A162" s="6" t="s">
        <v>197</v>
      </c>
      <c r="B162" s="19">
        <v>0</v>
      </c>
      <c r="C162" s="16">
        <v>0</v>
      </c>
      <c r="D162" s="19">
        <v>0</v>
      </c>
      <c r="E162" s="16">
        <v>0</v>
      </c>
      <c r="F162" s="19">
        <v>0</v>
      </c>
      <c r="G162" s="16">
        <v>0</v>
      </c>
      <c r="H162" s="22">
        <v>5.2210119626436595E-5</v>
      </c>
      <c r="I162" s="25">
        <v>5.1514527096641252E-5</v>
      </c>
      <c r="J162" s="22">
        <v>0</v>
      </c>
      <c r="K162" s="25">
        <v>0</v>
      </c>
      <c r="L162" s="22">
        <v>0</v>
      </c>
      <c r="M162" s="25">
        <v>0</v>
      </c>
      <c r="N162" s="19">
        <v>0</v>
      </c>
      <c r="O162" s="19">
        <v>0</v>
      </c>
      <c r="P162" s="16">
        <v>0</v>
      </c>
      <c r="Q162" s="19">
        <v>0</v>
      </c>
      <c r="R162" s="16">
        <v>0</v>
      </c>
      <c r="S162" s="25">
        <v>0</v>
      </c>
      <c r="T162" s="22">
        <v>0</v>
      </c>
      <c r="U162" s="25">
        <v>0</v>
      </c>
      <c r="V162" s="22">
        <v>0</v>
      </c>
      <c r="W162" s="25">
        <v>0</v>
      </c>
    </row>
    <row r="163" spans="1:23" x14ac:dyDescent="0.2">
      <c r="A163" s="6" t="s">
        <v>196</v>
      </c>
      <c r="B163" s="19">
        <v>0</v>
      </c>
      <c r="C163" s="16">
        <v>0</v>
      </c>
      <c r="D163" s="19">
        <v>0</v>
      </c>
      <c r="E163" s="16">
        <v>0</v>
      </c>
      <c r="F163" s="19">
        <v>0</v>
      </c>
      <c r="G163" s="16">
        <v>1.119261631711265E-4</v>
      </c>
      <c r="H163" s="22">
        <v>6.5262649533045743E-5</v>
      </c>
      <c r="I163" s="25">
        <v>0</v>
      </c>
      <c r="J163" s="22">
        <v>0</v>
      </c>
      <c r="K163" s="25">
        <v>0</v>
      </c>
      <c r="L163" s="22">
        <v>0</v>
      </c>
      <c r="M163" s="25">
        <v>0</v>
      </c>
      <c r="N163" s="19">
        <v>1.1355282895955727E-4</v>
      </c>
      <c r="O163" s="19">
        <v>3.8706415785898224E-4</v>
      </c>
      <c r="P163" s="16">
        <v>0</v>
      </c>
      <c r="Q163" s="19">
        <v>1.0675491739838266E-4</v>
      </c>
      <c r="R163" s="16">
        <v>0</v>
      </c>
      <c r="S163" s="25">
        <v>0</v>
      </c>
      <c r="T163" s="22">
        <v>0</v>
      </c>
      <c r="U163" s="25">
        <v>0</v>
      </c>
      <c r="V163" s="22">
        <v>0</v>
      </c>
      <c r="W163" s="25">
        <v>0</v>
      </c>
    </row>
    <row r="164" spans="1:23" x14ac:dyDescent="0.2">
      <c r="A164" s="6" t="s">
        <v>195</v>
      </c>
      <c r="B164" s="19">
        <v>7.668306097625468E-4</v>
      </c>
      <c r="C164" s="16">
        <v>3.4625079637683168E-5</v>
      </c>
      <c r="D164" s="19">
        <v>6.1822703855036424E-4</v>
      </c>
      <c r="E164" s="16">
        <v>1.5623407940766907E-4</v>
      </c>
      <c r="F164" s="19">
        <v>8.392013854451963E-5</v>
      </c>
      <c r="G164" s="16">
        <v>9.4706753452491652E-5</v>
      </c>
      <c r="H164" s="22">
        <v>0</v>
      </c>
      <c r="I164" s="25">
        <v>0</v>
      </c>
      <c r="J164" s="22">
        <v>0</v>
      </c>
      <c r="K164" s="25">
        <v>0</v>
      </c>
      <c r="L164" s="22">
        <v>1.5370238300174604E-4</v>
      </c>
      <c r="M164" s="25">
        <v>1.995344196873961E-4</v>
      </c>
      <c r="N164" s="19">
        <v>1.1773635423701465E-3</v>
      </c>
      <c r="O164" s="19">
        <v>2.2117951877656126E-4</v>
      </c>
      <c r="P164" s="16">
        <v>2.5219539323081697E-4</v>
      </c>
      <c r="Q164" s="19">
        <v>4.0033094024393497E-5</v>
      </c>
      <c r="R164" s="16">
        <v>4.9986432254102458E-5</v>
      </c>
      <c r="S164" s="25">
        <v>2.5762074362227647E-5</v>
      </c>
      <c r="T164" s="22">
        <v>3.0327537403962798E-4</v>
      </c>
      <c r="U164" s="25">
        <v>0</v>
      </c>
      <c r="V164" s="22">
        <v>1.8904663780554662E-5</v>
      </c>
      <c r="W164" s="25">
        <v>0</v>
      </c>
    </row>
    <row r="165" spans="1:23" x14ac:dyDescent="0.2">
      <c r="A165" s="6" t="s">
        <v>194</v>
      </c>
      <c r="B165" s="19">
        <v>0</v>
      </c>
      <c r="C165" s="16">
        <v>0</v>
      </c>
      <c r="D165" s="19">
        <v>1.4212115828744005E-5</v>
      </c>
      <c r="E165" s="16">
        <v>0</v>
      </c>
      <c r="F165" s="19">
        <v>0</v>
      </c>
      <c r="G165" s="16">
        <v>0</v>
      </c>
      <c r="H165" s="22">
        <v>0</v>
      </c>
      <c r="I165" s="25">
        <v>0</v>
      </c>
      <c r="J165" s="22">
        <v>0</v>
      </c>
      <c r="K165" s="25">
        <v>0</v>
      </c>
      <c r="L165" s="22">
        <v>0</v>
      </c>
      <c r="M165" s="25">
        <v>0</v>
      </c>
      <c r="N165" s="19">
        <v>0</v>
      </c>
      <c r="O165" s="19">
        <v>0</v>
      </c>
      <c r="P165" s="16">
        <v>0</v>
      </c>
      <c r="Q165" s="19">
        <v>0</v>
      </c>
      <c r="R165" s="16">
        <v>0</v>
      </c>
      <c r="S165" s="25">
        <v>0</v>
      </c>
      <c r="T165" s="22">
        <v>0</v>
      </c>
      <c r="U165" s="25">
        <v>0</v>
      </c>
      <c r="V165" s="22">
        <v>0</v>
      </c>
      <c r="W165" s="25">
        <v>0</v>
      </c>
    </row>
    <row r="166" spans="1:23" x14ac:dyDescent="0.2">
      <c r="A166" s="6" t="s">
        <v>193</v>
      </c>
      <c r="B166" s="19">
        <v>0</v>
      </c>
      <c r="C166" s="16">
        <v>0</v>
      </c>
      <c r="D166" s="19">
        <v>0</v>
      </c>
      <c r="E166" s="16">
        <v>0</v>
      </c>
      <c r="F166" s="19">
        <v>0</v>
      </c>
      <c r="G166" s="16">
        <v>0</v>
      </c>
      <c r="H166" s="22">
        <v>0</v>
      </c>
      <c r="I166" s="25">
        <v>0</v>
      </c>
      <c r="J166" s="22">
        <v>0</v>
      </c>
      <c r="K166" s="25">
        <v>2.6810370251213168E-5</v>
      </c>
      <c r="L166" s="22">
        <v>0</v>
      </c>
      <c r="M166" s="25">
        <v>0</v>
      </c>
      <c r="N166" s="19">
        <v>0</v>
      </c>
      <c r="O166" s="19">
        <v>0</v>
      </c>
      <c r="P166" s="16">
        <v>0</v>
      </c>
      <c r="Q166" s="19">
        <v>0</v>
      </c>
      <c r="R166" s="16">
        <v>0</v>
      </c>
      <c r="S166" s="25">
        <v>0</v>
      </c>
      <c r="T166" s="22">
        <v>0</v>
      </c>
      <c r="U166" s="25">
        <v>0</v>
      </c>
      <c r="V166" s="22">
        <v>0</v>
      </c>
      <c r="W166" s="25">
        <v>0</v>
      </c>
    </row>
    <row r="167" spans="1:23" x14ac:dyDescent="0.2">
      <c r="A167" s="6" t="s">
        <v>192</v>
      </c>
      <c r="B167" s="19">
        <v>0</v>
      </c>
      <c r="C167" s="16">
        <v>0</v>
      </c>
      <c r="D167" s="19">
        <v>1.3501510037306803E-4</v>
      </c>
      <c r="E167" s="16">
        <v>0</v>
      </c>
      <c r="F167" s="19">
        <v>0</v>
      </c>
      <c r="G167" s="16">
        <v>0</v>
      </c>
      <c r="H167" s="22">
        <v>0</v>
      </c>
      <c r="I167" s="25">
        <v>0</v>
      </c>
      <c r="J167" s="22">
        <v>0</v>
      </c>
      <c r="K167" s="25">
        <v>0</v>
      </c>
      <c r="L167" s="22">
        <v>0</v>
      </c>
      <c r="M167" s="25">
        <v>0</v>
      </c>
      <c r="N167" s="19">
        <v>0</v>
      </c>
      <c r="O167" s="19">
        <v>0</v>
      </c>
      <c r="P167" s="16">
        <v>0</v>
      </c>
      <c r="Q167" s="19">
        <v>0</v>
      </c>
      <c r="R167" s="16">
        <v>0</v>
      </c>
      <c r="S167" s="25">
        <v>0</v>
      </c>
      <c r="T167" s="22">
        <v>0</v>
      </c>
      <c r="U167" s="25">
        <v>0</v>
      </c>
      <c r="V167" s="22">
        <v>0</v>
      </c>
      <c r="W167" s="25">
        <v>0</v>
      </c>
    </row>
    <row r="168" spans="1:23" x14ac:dyDescent="0.2">
      <c r="A168" s="6" t="s">
        <v>191</v>
      </c>
      <c r="B168" s="19">
        <v>6.6106087048495426E-5</v>
      </c>
      <c r="C168" s="16">
        <v>2.7700063710146532E-5</v>
      </c>
      <c r="D168" s="19">
        <v>0</v>
      </c>
      <c r="E168" s="16">
        <v>0</v>
      </c>
      <c r="F168" s="19">
        <v>4.5774621024283436E-5</v>
      </c>
      <c r="G168" s="16">
        <v>0</v>
      </c>
      <c r="H168" s="22">
        <v>0</v>
      </c>
      <c r="I168" s="25">
        <v>3.8635895322480941E-5</v>
      </c>
      <c r="J168" s="22">
        <v>1.0665244634048793E-4</v>
      </c>
      <c r="K168" s="25">
        <v>5.3620740502426337E-5</v>
      </c>
      <c r="L168" s="22">
        <v>0</v>
      </c>
      <c r="M168" s="25">
        <v>0</v>
      </c>
      <c r="N168" s="19">
        <v>4.1835252774573728E-5</v>
      </c>
      <c r="O168" s="19">
        <v>0</v>
      </c>
      <c r="P168" s="16">
        <v>0</v>
      </c>
      <c r="Q168" s="19">
        <v>0</v>
      </c>
      <c r="R168" s="16">
        <v>0</v>
      </c>
      <c r="S168" s="25">
        <v>0</v>
      </c>
      <c r="T168" s="22">
        <v>0</v>
      </c>
      <c r="U168" s="25">
        <v>0</v>
      </c>
      <c r="V168" s="22">
        <v>0</v>
      </c>
      <c r="W168" s="25">
        <v>0</v>
      </c>
    </row>
    <row r="169" spans="1:23" x14ac:dyDescent="0.2">
      <c r="A169" s="6" t="s">
        <v>190</v>
      </c>
      <c r="B169" s="19">
        <v>1.1304140885292715E-3</v>
      </c>
      <c r="C169" s="16">
        <v>1.8697543004348911E-4</v>
      </c>
      <c r="D169" s="19">
        <v>1.2435601350151003E-3</v>
      </c>
      <c r="E169" s="16">
        <v>2.2416194001969908E-4</v>
      </c>
      <c r="F169" s="19">
        <v>5.9278134226447062E-3</v>
      </c>
      <c r="G169" s="16">
        <v>8.6097048593174229E-5</v>
      </c>
      <c r="H169" s="22">
        <v>1.5663035887930978E-4</v>
      </c>
      <c r="I169" s="25">
        <v>5.1514527096641259E-5</v>
      </c>
      <c r="J169" s="22">
        <v>2.5329956005865886E-4</v>
      </c>
      <c r="K169" s="25">
        <v>1.1394407356765596E-4</v>
      </c>
      <c r="L169" s="22">
        <v>3.50441433243981E-4</v>
      </c>
      <c r="M169" s="25">
        <v>6.9837046890588626E-4</v>
      </c>
      <c r="N169" s="19">
        <v>6.6338757971109779E-4</v>
      </c>
      <c r="O169" s="19">
        <v>7.1093416749608989E-5</v>
      </c>
      <c r="P169" s="16">
        <v>6.4665485443799223E-4</v>
      </c>
      <c r="Q169" s="19">
        <v>8.0066188048786993E-5</v>
      </c>
      <c r="R169" s="16">
        <v>2.5707308016395552E-4</v>
      </c>
      <c r="S169" s="25">
        <v>9.0167260267796755E-5</v>
      </c>
      <c r="T169" s="22">
        <v>3.1591184795794582E-5</v>
      </c>
      <c r="U169" s="25">
        <v>5.0929462694168576E-5</v>
      </c>
      <c r="V169" s="22">
        <v>4.915212582944212E-4</v>
      </c>
      <c r="W169" s="25">
        <v>0</v>
      </c>
    </row>
    <row r="170" spans="1:23" x14ac:dyDescent="0.2">
      <c r="A170" s="6" t="s">
        <v>189</v>
      </c>
      <c r="B170" s="19">
        <v>3.0144375694113931E-3</v>
      </c>
      <c r="C170" s="16">
        <v>6.855765768261266E-4</v>
      </c>
      <c r="D170" s="19">
        <v>2.224196127198437E-3</v>
      </c>
      <c r="E170" s="16">
        <v>1.8680161668308258E-3</v>
      </c>
      <c r="F170" s="19">
        <v>2.2658437407020297E-3</v>
      </c>
      <c r="G170" s="16">
        <v>2.7723249647002104E-3</v>
      </c>
      <c r="H170" s="22">
        <v>3.9092327070294397E-3</v>
      </c>
      <c r="I170" s="25">
        <v>4.636307438697712E-4</v>
      </c>
      <c r="J170" s="22">
        <v>2.6663111585121981E-4</v>
      </c>
      <c r="K170" s="25">
        <v>2.0107777688409878E-5</v>
      </c>
      <c r="L170" s="22">
        <v>2.7051619408307308E-3</v>
      </c>
      <c r="M170" s="25">
        <v>2.0419022281343529E-3</v>
      </c>
      <c r="N170" s="19">
        <v>2.3128918319657191E-3</v>
      </c>
      <c r="O170" s="19">
        <v>4.6052735516691166E-3</v>
      </c>
      <c r="P170" s="16">
        <v>3.0069450731366638E-3</v>
      </c>
      <c r="Q170" s="19">
        <v>1.0675491739838266E-3</v>
      </c>
      <c r="R170" s="16">
        <v>1.9994572901640981E-3</v>
      </c>
      <c r="S170" s="25">
        <v>2.1897763207893498E-4</v>
      </c>
      <c r="T170" s="22">
        <v>2.7737060250707644E-3</v>
      </c>
      <c r="U170" s="25">
        <v>9.3582887700534745E-4</v>
      </c>
      <c r="V170" s="22">
        <v>8.1290054256385037E-4</v>
      </c>
      <c r="W170" s="25">
        <v>8.2423243354626008E-5</v>
      </c>
    </row>
    <row r="171" spans="1:23" x14ac:dyDescent="0.2">
      <c r="A171" s="6" t="s">
        <v>188</v>
      </c>
      <c r="B171" s="19">
        <v>0</v>
      </c>
      <c r="C171" s="16">
        <v>0</v>
      </c>
      <c r="D171" s="19">
        <v>0</v>
      </c>
      <c r="E171" s="16">
        <v>0</v>
      </c>
      <c r="F171" s="19">
        <v>0</v>
      </c>
      <c r="G171" s="16">
        <v>0</v>
      </c>
      <c r="H171" s="22">
        <v>0</v>
      </c>
      <c r="I171" s="25">
        <v>0</v>
      </c>
      <c r="J171" s="22">
        <v>0</v>
      </c>
      <c r="K171" s="25">
        <v>4.0215555376819756E-5</v>
      </c>
      <c r="L171" s="22">
        <v>9.2221429801047641E-5</v>
      </c>
      <c r="M171" s="25">
        <v>3.4585966079148653E-4</v>
      </c>
      <c r="N171" s="19">
        <v>0</v>
      </c>
      <c r="O171" s="19">
        <v>0</v>
      </c>
      <c r="P171" s="16">
        <v>0</v>
      </c>
      <c r="Q171" s="19">
        <v>0</v>
      </c>
      <c r="R171" s="16">
        <v>0</v>
      </c>
      <c r="S171" s="25">
        <v>0</v>
      </c>
      <c r="T171" s="22">
        <v>2.4641124140719776E-4</v>
      </c>
      <c r="U171" s="25">
        <v>3.1194295900178256E-4</v>
      </c>
      <c r="V171" s="22">
        <v>0</v>
      </c>
      <c r="W171" s="25">
        <v>0</v>
      </c>
    </row>
    <row r="172" spans="1:23" x14ac:dyDescent="0.2">
      <c r="A172" s="6" t="s">
        <v>187</v>
      </c>
      <c r="B172" s="19">
        <v>2.6442434819398171E-5</v>
      </c>
      <c r="C172" s="16">
        <v>6.2325143347829697E-5</v>
      </c>
      <c r="D172" s="19">
        <v>0</v>
      </c>
      <c r="E172" s="16">
        <v>1.7661243759127806E-4</v>
      </c>
      <c r="F172" s="19">
        <v>0</v>
      </c>
      <c r="G172" s="16">
        <v>4.3048524296587115E-5</v>
      </c>
      <c r="H172" s="22">
        <v>0</v>
      </c>
      <c r="I172" s="25">
        <v>0</v>
      </c>
      <c r="J172" s="22">
        <v>0</v>
      </c>
      <c r="K172" s="25">
        <v>0</v>
      </c>
      <c r="L172" s="22">
        <v>0</v>
      </c>
      <c r="M172" s="25">
        <v>0</v>
      </c>
      <c r="N172" s="19">
        <v>4.7811717456655691E-5</v>
      </c>
      <c r="O172" s="19">
        <v>0</v>
      </c>
      <c r="P172" s="16">
        <v>6.4665485443799218E-5</v>
      </c>
      <c r="Q172" s="19">
        <v>2.6688729349595664E-5</v>
      </c>
      <c r="R172" s="16">
        <v>4.9986432254102458E-5</v>
      </c>
      <c r="S172" s="25">
        <v>0</v>
      </c>
      <c r="T172" s="22">
        <v>0</v>
      </c>
      <c r="U172" s="25">
        <v>0</v>
      </c>
      <c r="V172" s="22">
        <v>0</v>
      </c>
      <c r="W172" s="25">
        <v>0</v>
      </c>
    </row>
    <row r="173" spans="1:23" x14ac:dyDescent="0.2">
      <c r="A173" s="6" t="s">
        <v>186</v>
      </c>
      <c r="B173" s="19">
        <f>1-SUM(B2:B172)</f>
        <v>0.18487889364852628</v>
      </c>
      <c r="C173" s="16">
        <f t="shared" ref="C173:W173" si="0">1-SUM(C2:C172)</f>
        <v>0.15824353896013976</v>
      </c>
      <c r="D173" s="19">
        <f t="shared" si="0"/>
        <v>0.24046189376443361</v>
      </c>
      <c r="E173" s="16">
        <f t="shared" si="0"/>
        <v>0.1698807866046258</v>
      </c>
      <c r="F173" s="19">
        <f t="shared" si="0"/>
        <v>0.22022170174782729</v>
      </c>
      <c r="G173" s="16">
        <f t="shared" si="0"/>
        <v>0.19136790990804764</v>
      </c>
      <c r="H173" s="22">
        <f t="shared" si="0"/>
        <v>0.16661554425786584</v>
      </c>
      <c r="I173" s="25">
        <f t="shared" si="0"/>
        <v>0.22170564599216969</v>
      </c>
      <c r="J173" s="22">
        <f t="shared" si="0"/>
        <v>0.19938008265564544</v>
      </c>
      <c r="K173" s="25">
        <f t="shared" si="0"/>
        <v>0.29050376685702051</v>
      </c>
      <c r="L173" s="22">
        <f t="shared" si="0"/>
        <v>0.20481149939748755</v>
      </c>
      <c r="M173" s="25">
        <f t="shared" si="0"/>
        <v>0.21529098769537758</v>
      </c>
      <c r="N173" s="19">
        <f t="shared" si="0"/>
        <v>0.17708862499477085</v>
      </c>
      <c r="O173" s="19">
        <f t="shared" si="0"/>
        <v>0.19579126972842342</v>
      </c>
      <c r="P173" s="16">
        <f t="shared" si="0"/>
        <v>0.1691843095666119</v>
      </c>
      <c r="Q173" s="19">
        <f t="shared" si="0"/>
        <v>0.22533294189863595</v>
      </c>
      <c r="R173" s="16">
        <f t="shared" si="0"/>
        <v>0.20992873362944153</v>
      </c>
      <c r="S173" s="25">
        <f t="shared" si="0"/>
        <v>0.29212260171189031</v>
      </c>
      <c r="T173" s="22">
        <f t="shared" si="0"/>
        <v>0.22647720380105096</v>
      </c>
      <c r="U173" s="25">
        <f t="shared" si="0"/>
        <v>0.23256302521008398</v>
      </c>
      <c r="V173" s="22">
        <f t="shared" si="0"/>
        <v>0.18670876105135115</v>
      </c>
      <c r="W173" s="25">
        <f t="shared" si="0"/>
        <v>0.32848959406552647</v>
      </c>
    </row>
    <row r="174" spans="1:23" x14ac:dyDescent="0.2">
      <c r="A174" s="6"/>
      <c r="B174" s="19"/>
      <c r="C174" s="16"/>
      <c r="D174" s="19"/>
      <c r="E174" s="16"/>
      <c r="F174" s="19"/>
      <c r="G174" s="16"/>
      <c r="H174" s="22"/>
      <c r="I174" s="25"/>
      <c r="J174" s="22"/>
      <c r="K174" s="25"/>
      <c r="L174" s="22"/>
      <c r="M174" s="25"/>
      <c r="N174" s="19"/>
      <c r="O174" s="19"/>
      <c r="P174" s="16"/>
      <c r="Q174" s="19"/>
      <c r="R174" s="16"/>
      <c r="S174" s="25"/>
      <c r="T174" s="22"/>
      <c r="U174" s="25"/>
      <c r="V174" s="22"/>
      <c r="W174" s="25"/>
    </row>
    <row r="175" spans="1:23" x14ac:dyDescent="0.2">
      <c r="A175" s="6"/>
      <c r="B175" s="19"/>
      <c r="C175" s="16"/>
      <c r="D175" s="19"/>
      <c r="E175" s="16"/>
      <c r="F175" s="19"/>
      <c r="G175" s="16"/>
      <c r="H175" s="22"/>
      <c r="I175" s="25"/>
      <c r="J175" s="22"/>
      <c r="K175" s="25"/>
      <c r="L175" s="22"/>
      <c r="M175" s="25"/>
      <c r="N175" s="19"/>
      <c r="O175" s="19"/>
      <c r="P175" s="16"/>
      <c r="Q175" s="19"/>
      <c r="R175" s="16"/>
      <c r="S175" s="25"/>
      <c r="T175" s="22"/>
      <c r="U175" s="25"/>
      <c r="V175" s="22"/>
      <c r="W175" s="25"/>
    </row>
    <row r="176" spans="1:23" x14ac:dyDescent="0.2">
      <c r="A176" s="6"/>
      <c r="B176" s="19"/>
      <c r="C176" s="16"/>
      <c r="D176" s="19"/>
      <c r="E176" s="16"/>
      <c r="F176" s="19"/>
      <c r="G176" s="16"/>
      <c r="H176" s="22"/>
      <c r="I176" s="25"/>
      <c r="J176" s="22"/>
      <c r="K176" s="25"/>
      <c r="L176" s="22"/>
      <c r="M176" s="25"/>
      <c r="N176" s="19"/>
      <c r="O176" s="19"/>
      <c r="P176" s="16"/>
      <c r="Q176" s="19"/>
      <c r="R176" s="16"/>
      <c r="S176" s="25"/>
      <c r="T176" s="22"/>
      <c r="U176" s="25"/>
      <c r="V176" s="22"/>
      <c r="W176" s="25"/>
    </row>
    <row r="177" spans="1:23" x14ac:dyDescent="0.2">
      <c r="A177" s="6"/>
      <c r="B177" s="19"/>
      <c r="C177" s="16"/>
      <c r="D177" s="19"/>
      <c r="E177" s="16"/>
      <c r="F177" s="19"/>
      <c r="G177" s="16"/>
      <c r="H177" s="22"/>
      <c r="I177" s="25"/>
      <c r="J177" s="22"/>
      <c r="K177" s="25"/>
      <c r="L177" s="22"/>
      <c r="M177" s="25"/>
      <c r="N177" s="19"/>
      <c r="O177" s="19"/>
      <c r="P177" s="16"/>
      <c r="Q177" s="19"/>
      <c r="R177" s="16"/>
      <c r="S177" s="25"/>
      <c r="T177" s="22"/>
      <c r="U177" s="25"/>
      <c r="V177" s="22"/>
      <c r="W177" s="25"/>
    </row>
    <row r="178" spans="1:23" x14ac:dyDescent="0.2">
      <c r="A178" s="6"/>
      <c r="B178" s="19"/>
      <c r="C178" s="16"/>
      <c r="D178" s="19"/>
      <c r="E178" s="16"/>
      <c r="F178" s="19"/>
      <c r="G178" s="16"/>
      <c r="H178" s="22"/>
      <c r="I178" s="25"/>
      <c r="J178" s="22"/>
      <c r="K178" s="25"/>
      <c r="L178" s="22"/>
      <c r="M178" s="25"/>
      <c r="N178" s="19"/>
      <c r="O178" s="19"/>
      <c r="P178" s="16"/>
      <c r="Q178" s="19"/>
      <c r="R178" s="16"/>
      <c r="S178" s="25"/>
      <c r="T178" s="22"/>
      <c r="U178" s="25"/>
      <c r="V178" s="22"/>
      <c r="W178" s="25"/>
    </row>
    <row r="179" spans="1:23" x14ac:dyDescent="0.2">
      <c r="A179" s="6"/>
      <c r="B179" s="19"/>
      <c r="C179" s="16"/>
      <c r="D179" s="19"/>
      <c r="E179" s="16"/>
      <c r="F179" s="19"/>
      <c r="G179" s="16"/>
      <c r="H179" s="22"/>
      <c r="I179" s="25"/>
      <c r="J179" s="22"/>
      <c r="K179" s="25"/>
      <c r="L179" s="22"/>
      <c r="M179" s="25"/>
      <c r="N179" s="19"/>
      <c r="O179" s="19"/>
      <c r="P179" s="16"/>
      <c r="Q179" s="19"/>
      <c r="R179" s="16"/>
      <c r="S179" s="25"/>
      <c r="T179" s="22"/>
      <c r="U179" s="25"/>
      <c r="V179" s="22"/>
      <c r="W179" s="25"/>
    </row>
    <row r="180" spans="1:23" x14ac:dyDescent="0.2">
      <c r="A180" s="6"/>
      <c r="B180" s="19"/>
      <c r="C180" s="16"/>
      <c r="D180" s="19"/>
      <c r="E180" s="16"/>
      <c r="F180" s="19"/>
      <c r="G180" s="16"/>
      <c r="H180" s="22"/>
      <c r="I180" s="25"/>
      <c r="J180" s="22"/>
      <c r="K180" s="25"/>
      <c r="L180" s="22"/>
      <c r="M180" s="25"/>
      <c r="N180" s="19"/>
      <c r="O180" s="19"/>
      <c r="P180" s="16"/>
      <c r="Q180" s="19"/>
      <c r="R180" s="16"/>
      <c r="S180" s="25"/>
      <c r="T180" s="22"/>
      <c r="U180" s="25"/>
      <c r="V180" s="22"/>
      <c r="W180" s="25"/>
    </row>
    <row r="181" spans="1:23" x14ac:dyDescent="0.2">
      <c r="A181" s="6"/>
      <c r="B181" s="19"/>
      <c r="C181" s="16"/>
      <c r="D181" s="19"/>
      <c r="E181" s="16"/>
      <c r="F181" s="19"/>
      <c r="G181" s="16"/>
      <c r="H181" s="22"/>
      <c r="I181" s="25"/>
      <c r="J181" s="22"/>
      <c r="K181" s="25"/>
      <c r="L181" s="22"/>
      <c r="M181" s="25"/>
      <c r="N181" s="19"/>
      <c r="O181" s="19"/>
      <c r="P181" s="16"/>
      <c r="Q181" s="19"/>
      <c r="R181" s="16"/>
      <c r="S181" s="25"/>
      <c r="T181" s="22"/>
      <c r="U181" s="25"/>
      <c r="V181" s="22"/>
      <c r="W181" s="25"/>
    </row>
    <row r="182" spans="1:23" x14ac:dyDescent="0.2">
      <c r="A182" s="6"/>
      <c r="B182" s="19"/>
      <c r="C182" s="16"/>
      <c r="D182" s="19"/>
      <c r="E182" s="16"/>
      <c r="F182" s="19"/>
      <c r="G182" s="16"/>
      <c r="H182" s="22"/>
      <c r="I182" s="25"/>
      <c r="J182" s="22"/>
      <c r="K182" s="25"/>
      <c r="L182" s="22"/>
      <c r="M182" s="25"/>
      <c r="N182" s="19"/>
      <c r="O182" s="19"/>
      <c r="P182" s="16"/>
      <c r="Q182" s="19"/>
      <c r="R182" s="16"/>
      <c r="S182" s="25"/>
      <c r="T182" s="22"/>
      <c r="U182" s="25"/>
      <c r="V182" s="22"/>
      <c r="W182" s="25"/>
    </row>
    <row r="183" spans="1:23" x14ac:dyDescent="0.2">
      <c r="A183" s="6"/>
      <c r="B183" s="19"/>
      <c r="C183" s="16"/>
      <c r="D183" s="19"/>
      <c r="E183" s="16"/>
      <c r="F183" s="19"/>
      <c r="G183" s="16"/>
      <c r="H183" s="22"/>
      <c r="I183" s="25"/>
      <c r="J183" s="22"/>
      <c r="K183" s="25"/>
      <c r="L183" s="22"/>
      <c r="M183" s="25"/>
      <c r="N183" s="19"/>
      <c r="O183" s="19"/>
      <c r="P183" s="16"/>
      <c r="Q183" s="19"/>
      <c r="R183" s="16"/>
      <c r="S183" s="25"/>
      <c r="T183" s="22"/>
      <c r="U183" s="25"/>
      <c r="V183" s="22"/>
      <c r="W183" s="25"/>
    </row>
    <row r="184" spans="1:23" x14ac:dyDescent="0.2">
      <c r="A184" s="6"/>
      <c r="B184" s="19"/>
      <c r="C184" s="16"/>
      <c r="D184" s="19"/>
      <c r="E184" s="16"/>
      <c r="F184" s="19"/>
      <c r="G184" s="16"/>
      <c r="H184" s="22"/>
      <c r="I184" s="25"/>
      <c r="J184" s="22"/>
      <c r="K184" s="25"/>
      <c r="L184" s="22"/>
      <c r="M184" s="25"/>
      <c r="N184" s="19"/>
      <c r="O184" s="19"/>
      <c r="P184" s="16"/>
      <c r="Q184" s="19"/>
      <c r="R184" s="16"/>
      <c r="S184" s="25"/>
      <c r="T184" s="22"/>
      <c r="U184" s="25"/>
      <c r="V184" s="22"/>
      <c r="W184" s="25"/>
    </row>
    <row r="185" spans="1:23" x14ac:dyDescent="0.2">
      <c r="A185" s="6"/>
      <c r="B185" s="19"/>
      <c r="C185" s="16"/>
      <c r="D185" s="19"/>
      <c r="E185" s="16"/>
      <c r="F185" s="19"/>
      <c r="G185" s="16"/>
      <c r="H185" s="22"/>
      <c r="I185" s="25"/>
      <c r="J185" s="22"/>
      <c r="K185" s="25"/>
      <c r="L185" s="22"/>
      <c r="M185" s="25"/>
      <c r="N185" s="19"/>
      <c r="O185" s="19"/>
      <c r="P185" s="16"/>
      <c r="Q185" s="19"/>
      <c r="R185" s="16"/>
      <c r="S185" s="25"/>
      <c r="T185" s="22"/>
      <c r="U185" s="25"/>
      <c r="V185" s="22"/>
      <c r="W185" s="25"/>
    </row>
    <row r="186" spans="1:23" x14ac:dyDescent="0.2">
      <c r="A186" s="6"/>
      <c r="B186" s="19"/>
      <c r="C186" s="16"/>
      <c r="D186" s="19"/>
      <c r="E186" s="16"/>
      <c r="F186" s="19"/>
      <c r="G186" s="16"/>
      <c r="H186" s="22"/>
      <c r="I186" s="25"/>
      <c r="J186" s="22"/>
      <c r="K186" s="25"/>
      <c r="L186" s="22"/>
      <c r="M186" s="25"/>
      <c r="N186" s="19"/>
      <c r="O186" s="19"/>
      <c r="P186" s="16"/>
      <c r="Q186" s="19"/>
      <c r="R186" s="16"/>
      <c r="S186" s="25"/>
      <c r="T186" s="22"/>
      <c r="U186" s="25"/>
      <c r="V186" s="22"/>
      <c r="W186" s="25"/>
    </row>
    <row r="187" spans="1:23" x14ac:dyDescent="0.2">
      <c r="A187" s="6"/>
      <c r="B187" s="19"/>
      <c r="C187" s="16"/>
      <c r="D187" s="19"/>
      <c r="E187" s="16"/>
      <c r="F187" s="19"/>
      <c r="G187" s="16"/>
      <c r="H187" s="22"/>
      <c r="I187" s="25"/>
      <c r="J187" s="22"/>
      <c r="K187" s="25"/>
      <c r="L187" s="22"/>
      <c r="M187" s="25"/>
      <c r="N187" s="19"/>
      <c r="O187" s="19"/>
      <c r="P187" s="16"/>
      <c r="Q187" s="19"/>
      <c r="R187" s="16"/>
      <c r="S187" s="25"/>
      <c r="T187" s="22"/>
      <c r="U187" s="25"/>
      <c r="V187" s="22"/>
      <c r="W187" s="25"/>
    </row>
    <row r="188" spans="1:23" x14ac:dyDescent="0.2">
      <c r="A188" s="6"/>
      <c r="B188" s="19"/>
      <c r="C188" s="16"/>
      <c r="D188" s="19"/>
      <c r="E188" s="16"/>
      <c r="F188" s="19"/>
      <c r="G188" s="16"/>
      <c r="H188" s="22"/>
      <c r="I188" s="25"/>
      <c r="J188" s="22"/>
      <c r="K188" s="25"/>
      <c r="L188" s="22"/>
      <c r="M188" s="25"/>
      <c r="N188" s="19"/>
      <c r="O188" s="19"/>
      <c r="P188" s="16"/>
      <c r="Q188" s="19"/>
      <c r="R188" s="16"/>
      <c r="S188" s="25"/>
      <c r="T188" s="22"/>
      <c r="U188" s="25"/>
      <c r="V188" s="22"/>
      <c r="W188" s="25"/>
    </row>
    <row r="189" spans="1:23" x14ac:dyDescent="0.2">
      <c r="A189" s="6"/>
      <c r="B189" s="19"/>
      <c r="C189" s="16"/>
      <c r="D189" s="19"/>
      <c r="E189" s="16"/>
      <c r="F189" s="19"/>
      <c r="G189" s="16"/>
      <c r="H189" s="22"/>
      <c r="I189" s="25"/>
      <c r="J189" s="22"/>
      <c r="K189" s="25"/>
      <c r="L189" s="22"/>
      <c r="M189" s="25"/>
      <c r="N189" s="19"/>
      <c r="O189" s="19"/>
      <c r="P189" s="16"/>
      <c r="Q189" s="19"/>
      <c r="R189" s="16"/>
      <c r="S189" s="25"/>
      <c r="T189" s="22"/>
      <c r="U189" s="25"/>
      <c r="V189" s="22"/>
      <c r="W189" s="25"/>
    </row>
    <row r="190" spans="1:23" x14ac:dyDescent="0.2">
      <c r="A190" s="6"/>
      <c r="B190" s="19"/>
      <c r="C190" s="16"/>
      <c r="D190" s="19"/>
      <c r="E190" s="16"/>
      <c r="F190" s="19"/>
      <c r="G190" s="16"/>
      <c r="H190" s="22"/>
      <c r="I190" s="25"/>
      <c r="J190" s="22"/>
      <c r="K190" s="25"/>
      <c r="L190" s="22"/>
      <c r="M190" s="25"/>
      <c r="N190" s="19"/>
      <c r="O190" s="19"/>
      <c r="P190" s="16"/>
      <c r="Q190" s="19"/>
      <c r="R190" s="16"/>
      <c r="S190" s="25"/>
      <c r="T190" s="22"/>
      <c r="U190" s="25"/>
      <c r="V190" s="22"/>
      <c r="W190" s="25"/>
    </row>
    <row r="191" spans="1:23" x14ac:dyDescent="0.2">
      <c r="A191" s="6"/>
      <c r="B191" s="19"/>
      <c r="C191" s="16"/>
      <c r="D191" s="19"/>
      <c r="E191" s="16"/>
      <c r="F191" s="19"/>
      <c r="G191" s="16"/>
      <c r="H191" s="22"/>
      <c r="I191" s="25"/>
      <c r="J191" s="22"/>
      <c r="K191" s="25"/>
      <c r="L191" s="22"/>
      <c r="M191" s="25"/>
      <c r="N191" s="19"/>
      <c r="O191" s="19"/>
      <c r="P191" s="16"/>
      <c r="Q191" s="19"/>
      <c r="R191" s="16"/>
      <c r="S191" s="25"/>
      <c r="T191" s="22"/>
      <c r="U191" s="25"/>
      <c r="V191" s="22"/>
      <c r="W191" s="25"/>
    </row>
    <row r="192" spans="1:23" x14ac:dyDescent="0.2">
      <c r="A192" s="6"/>
      <c r="B192" s="19"/>
      <c r="C192" s="16"/>
      <c r="D192" s="19"/>
      <c r="E192" s="16"/>
      <c r="F192" s="19"/>
      <c r="G192" s="16"/>
      <c r="H192" s="22"/>
      <c r="I192" s="25"/>
      <c r="J192" s="22"/>
      <c r="K192" s="25"/>
      <c r="L192" s="22"/>
      <c r="M192" s="25"/>
      <c r="N192" s="19"/>
      <c r="O192" s="19"/>
      <c r="P192" s="16"/>
      <c r="Q192" s="19"/>
      <c r="R192" s="16"/>
      <c r="S192" s="25"/>
      <c r="T192" s="22"/>
      <c r="U192" s="25"/>
      <c r="V192" s="22"/>
      <c r="W192" s="25"/>
    </row>
    <row r="193" spans="1:23" x14ac:dyDescent="0.2">
      <c r="A193" s="6"/>
      <c r="B193" s="19"/>
      <c r="C193" s="16"/>
      <c r="D193" s="19"/>
      <c r="E193" s="16"/>
      <c r="F193" s="19"/>
      <c r="G193" s="16"/>
      <c r="H193" s="22"/>
      <c r="I193" s="25"/>
      <c r="J193" s="22"/>
      <c r="K193" s="25"/>
      <c r="L193" s="22"/>
      <c r="M193" s="25"/>
      <c r="N193" s="19"/>
      <c r="O193" s="19"/>
      <c r="P193" s="16"/>
      <c r="Q193" s="19"/>
      <c r="R193" s="16"/>
      <c r="S193" s="25"/>
      <c r="T193" s="22"/>
      <c r="U193" s="25"/>
      <c r="V193" s="22"/>
      <c r="W193" s="25"/>
    </row>
    <row r="194" spans="1:23" x14ac:dyDescent="0.2">
      <c r="A194" s="6"/>
      <c r="B194" s="19"/>
      <c r="C194" s="16"/>
      <c r="D194" s="19"/>
      <c r="E194" s="16"/>
      <c r="F194" s="19"/>
      <c r="G194" s="16"/>
      <c r="H194" s="22"/>
      <c r="I194" s="25"/>
      <c r="J194" s="22"/>
      <c r="K194" s="25"/>
      <c r="L194" s="22"/>
      <c r="M194" s="25"/>
      <c r="N194" s="19"/>
      <c r="O194" s="19"/>
      <c r="P194" s="16"/>
      <c r="Q194" s="19"/>
      <c r="R194" s="16"/>
      <c r="S194" s="25"/>
      <c r="T194" s="22"/>
      <c r="U194" s="25"/>
      <c r="V194" s="22"/>
      <c r="W194" s="25"/>
    </row>
    <row r="195" spans="1:23" x14ac:dyDescent="0.2">
      <c r="A195" s="6"/>
      <c r="B195" s="19"/>
      <c r="C195" s="16"/>
      <c r="D195" s="19"/>
      <c r="E195" s="16"/>
      <c r="F195" s="19"/>
      <c r="G195" s="16"/>
      <c r="H195" s="22"/>
      <c r="I195" s="25"/>
      <c r="J195" s="22"/>
      <c r="K195" s="25"/>
      <c r="L195" s="22"/>
      <c r="M195" s="25"/>
      <c r="N195" s="19"/>
      <c r="O195" s="19"/>
      <c r="P195" s="16"/>
      <c r="Q195" s="19"/>
      <c r="R195" s="16"/>
      <c r="S195" s="25"/>
      <c r="T195" s="22"/>
      <c r="U195" s="25"/>
      <c r="V195" s="22"/>
      <c r="W195" s="25"/>
    </row>
    <row r="196" spans="1:23" x14ac:dyDescent="0.2">
      <c r="A196" s="6"/>
      <c r="B196" s="19"/>
      <c r="C196" s="16"/>
      <c r="D196" s="19"/>
      <c r="E196" s="16"/>
      <c r="F196" s="19"/>
      <c r="G196" s="16"/>
      <c r="H196" s="22"/>
      <c r="I196" s="25"/>
      <c r="J196" s="22"/>
      <c r="K196" s="25"/>
      <c r="L196" s="22"/>
      <c r="M196" s="25"/>
      <c r="N196" s="19"/>
      <c r="O196" s="19"/>
      <c r="P196" s="16"/>
      <c r="Q196" s="19"/>
      <c r="R196" s="16"/>
      <c r="S196" s="25"/>
      <c r="T196" s="22"/>
      <c r="U196" s="25"/>
      <c r="V196" s="22"/>
      <c r="W196" s="25"/>
    </row>
    <row r="197" spans="1:23" x14ac:dyDescent="0.2">
      <c r="A197" s="6"/>
      <c r="B197" s="19"/>
      <c r="C197" s="16"/>
      <c r="D197" s="19"/>
      <c r="E197" s="16"/>
      <c r="F197" s="19"/>
      <c r="G197" s="16"/>
      <c r="H197" s="22"/>
      <c r="I197" s="25"/>
      <c r="J197" s="22"/>
      <c r="K197" s="25"/>
      <c r="L197" s="22"/>
      <c r="M197" s="25"/>
      <c r="N197" s="19"/>
      <c r="O197" s="19"/>
      <c r="P197" s="16"/>
      <c r="Q197" s="19"/>
      <c r="R197" s="16"/>
      <c r="S197" s="25"/>
      <c r="T197" s="22"/>
      <c r="U197" s="25"/>
      <c r="V197" s="22"/>
      <c r="W197" s="25"/>
    </row>
    <row r="198" spans="1:23" x14ac:dyDescent="0.2">
      <c r="A198" s="6"/>
      <c r="B198" s="19"/>
      <c r="C198" s="16"/>
      <c r="D198" s="19"/>
      <c r="E198" s="16"/>
      <c r="F198" s="19"/>
      <c r="G198" s="16"/>
      <c r="H198" s="22"/>
      <c r="I198" s="25"/>
      <c r="J198" s="22"/>
      <c r="K198" s="25"/>
      <c r="L198" s="22"/>
      <c r="M198" s="25"/>
      <c r="N198" s="19"/>
      <c r="O198" s="19"/>
      <c r="P198" s="16"/>
      <c r="Q198" s="19"/>
      <c r="R198" s="16"/>
      <c r="S198" s="25"/>
      <c r="T198" s="22"/>
      <c r="U198" s="25"/>
      <c r="V198" s="22"/>
      <c r="W198" s="25"/>
    </row>
    <row r="199" spans="1:23" x14ac:dyDescent="0.2">
      <c r="A199" s="6"/>
      <c r="B199" s="19"/>
      <c r="C199" s="16"/>
      <c r="D199" s="19"/>
      <c r="E199" s="16"/>
      <c r="F199" s="19"/>
      <c r="G199" s="16"/>
      <c r="H199" s="22"/>
      <c r="I199" s="25"/>
      <c r="J199" s="22"/>
      <c r="K199" s="25"/>
      <c r="L199" s="22"/>
      <c r="M199" s="25"/>
      <c r="N199" s="19"/>
      <c r="O199" s="19"/>
      <c r="P199" s="16"/>
      <c r="Q199" s="19"/>
      <c r="R199" s="16"/>
      <c r="S199" s="25"/>
      <c r="T199" s="22"/>
      <c r="U199" s="25"/>
      <c r="V199" s="22"/>
      <c r="W199" s="25"/>
    </row>
    <row r="200" spans="1:23" x14ac:dyDescent="0.2">
      <c r="A200" s="6"/>
      <c r="B200" s="19"/>
      <c r="C200" s="16"/>
      <c r="D200" s="19"/>
      <c r="E200" s="16"/>
      <c r="F200" s="19"/>
      <c r="G200" s="16"/>
      <c r="H200" s="22"/>
      <c r="I200" s="25"/>
      <c r="J200" s="22"/>
      <c r="K200" s="25"/>
      <c r="L200" s="22"/>
      <c r="M200" s="25"/>
      <c r="N200" s="19"/>
      <c r="O200" s="19"/>
      <c r="P200" s="16"/>
      <c r="Q200" s="19"/>
      <c r="R200" s="16"/>
      <c r="S200" s="25"/>
      <c r="T200" s="22"/>
      <c r="U200" s="25"/>
      <c r="V200" s="22"/>
      <c r="W200" s="25"/>
    </row>
    <row r="201" spans="1:23" x14ac:dyDescent="0.2">
      <c r="A201" s="6"/>
      <c r="B201" s="19"/>
      <c r="C201" s="16"/>
      <c r="D201" s="19"/>
      <c r="E201" s="16"/>
      <c r="F201" s="19"/>
      <c r="G201" s="16"/>
      <c r="H201" s="22"/>
      <c r="I201" s="25"/>
      <c r="J201" s="22"/>
      <c r="K201" s="25"/>
      <c r="L201" s="22"/>
      <c r="M201" s="25"/>
      <c r="N201" s="19"/>
      <c r="O201" s="19"/>
      <c r="P201" s="16"/>
      <c r="Q201" s="19"/>
      <c r="R201" s="16"/>
      <c r="S201" s="25"/>
      <c r="T201" s="22"/>
      <c r="U201" s="25"/>
      <c r="V201" s="22"/>
      <c r="W201" s="25"/>
    </row>
    <row r="202" spans="1:23" x14ac:dyDescent="0.2">
      <c r="A202" s="6"/>
      <c r="B202" s="19"/>
      <c r="C202" s="16"/>
      <c r="D202" s="19"/>
      <c r="E202" s="16"/>
      <c r="F202" s="19"/>
      <c r="G202" s="16"/>
      <c r="H202" s="22"/>
      <c r="I202" s="25"/>
      <c r="J202" s="22"/>
      <c r="K202" s="25"/>
      <c r="L202" s="22"/>
      <c r="M202" s="25"/>
      <c r="N202" s="19"/>
      <c r="O202" s="19"/>
      <c r="P202" s="16"/>
      <c r="Q202" s="19"/>
      <c r="R202" s="16"/>
      <c r="S202" s="25"/>
      <c r="T202" s="22"/>
      <c r="U202" s="25"/>
      <c r="V202" s="22"/>
      <c r="W202" s="25"/>
    </row>
    <row r="203" spans="1:23" x14ac:dyDescent="0.2">
      <c r="A203" s="6"/>
      <c r="B203" s="19"/>
      <c r="C203" s="16"/>
      <c r="D203" s="19"/>
      <c r="E203" s="16"/>
      <c r="F203" s="19"/>
      <c r="G203" s="16"/>
      <c r="H203" s="22"/>
      <c r="I203" s="25"/>
      <c r="J203" s="22"/>
      <c r="K203" s="25"/>
      <c r="L203" s="22"/>
      <c r="M203" s="25"/>
      <c r="N203" s="19"/>
      <c r="O203" s="19"/>
      <c r="P203" s="16"/>
      <c r="Q203" s="19"/>
      <c r="R203" s="16"/>
      <c r="S203" s="25"/>
      <c r="T203" s="22"/>
      <c r="U203" s="25"/>
      <c r="V203" s="22"/>
      <c r="W203" s="25"/>
    </row>
    <row r="204" spans="1:23" x14ac:dyDescent="0.2">
      <c r="A204" s="6"/>
      <c r="B204" s="19"/>
      <c r="C204" s="16"/>
      <c r="D204" s="19"/>
      <c r="E204" s="16"/>
      <c r="F204" s="19"/>
      <c r="G204" s="16"/>
      <c r="H204" s="22"/>
      <c r="I204" s="25"/>
      <c r="J204" s="22"/>
      <c r="K204" s="25"/>
      <c r="L204" s="22"/>
      <c r="M204" s="25"/>
      <c r="N204" s="19"/>
      <c r="O204" s="19"/>
      <c r="P204" s="16"/>
      <c r="Q204" s="19"/>
      <c r="R204" s="16"/>
      <c r="S204" s="25"/>
      <c r="T204" s="22"/>
      <c r="U204" s="25"/>
      <c r="V204" s="22"/>
      <c r="W204" s="25"/>
    </row>
    <row r="205" spans="1:23" x14ac:dyDescent="0.2">
      <c r="A205" s="6"/>
      <c r="B205" s="19"/>
      <c r="C205" s="16"/>
      <c r="D205" s="19"/>
      <c r="E205" s="16"/>
      <c r="F205" s="19"/>
      <c r="G205" s="16"/>
      <c r="H205" s="22"/>
      <c r="I205" s="25"/>
      <c r="J205" s="22"/>
      <c r="K205" s="25"/>
      <c r="L205" s="22"/>
      <c r="M205" s="25"/>
      <c r="N205" s="19"/>
      <c r="O205" s="19"/>
      <c r="P205" s="16"/>
      <c r="Q205" s="19"/>
      <c r="R205" s="16"/>
      <c r="S205" s="25"/>
      <c r="T205" s="22"/>
      <c r="U205" s="25"/>
      <c r="V205" s="22"/>
      <c r="W205" s="25"/>
    </row>
    <row r="206" spans="1:23" x14ac:dyDescent="0.2">
      <c r="A206" s="6"/>
      <c r="B206" s="19"/>
      <c r="C206" s="16"/>
      <c r="D206" s="19"/>
      <c r="E206" s="16"/>
      <c r="F206" s="19"/>
      <c r="G206" s="16"/>
      <c r="H206" s="22"/>
      <c r="I206" s="25"/>
      <c r="J206" s="22"/>
      <c r="K206" s="25"/>
      <c r="L206" s="22"/>
      <c r="M206" s="25"/>
      <c r="N206" s="19"/>
      <c r="O206" s="19"/>
      <c r="P206" s="16"/>
      <c r="Q206" s="19"/>
      <c r="R206" s="16"/>
      <c r="S206" s="25"/>
      <c r="T206" s="22"/>
      <c r="U206" s="25"/>
      <c r="V206" s="22"/>
      <c r="W206" s="25"/>
    </row>
    <row r="207" spans="1:23" x14ac:dyDescent="0.2">
      <c r="A207" s="6"/>
      <c r="B207" s="19"/>
      <c r="C207" s="16"/>
      <c r="D207" s="19"/>
      <c r="E207" s="16"/>
      <c r="F207" s="19"/>
      <c r="G207" s="16"/>
      <c r="H207" s="22"/>
      <c r="I207" s="25"/>
      <c r="J207" s="22"/>
      <c r="K207" s="25"/>
      <c r="L207" s="22"/>
      <c r="M207" s="25"/>
      <c r="N207" s="19"/>
      <c r="O207" s="19"/>
      <c r="P207" s="16"/>
      <c r="Q207" s="19"/>
      <c r="R207" s="16"/>
      <c r="S207" s="25"/>
      <c r="T207" s="22"/>
      <c r="U207" s="25"/>
      <c r="V207" s="22"/>
      <c r="W207" s="25"/>
    </row>
    <row r="208" spans="1:23" x14ac:dyDescent="0.2">
      <c r="A208" s="6"/>
      <c r="B208" s="19"/>
      <c r="C208" s="16"/>
      <c r="D208" s="19"/>
      <c r="E208" s="16"/>
      <c r="F208" s="19"/>
      <c r="G208" s="16"/>
      <c r="H208" s="22"/>
      <c r="I208" s="25"/>
      <c r="J208" s="22"/>
      <c r="K208" s="25"/>
      <c r="L208" s="22"/>
      <c r="M208" s="25"/>
      <c r="N208" s="19"/>
      <c r="O208" s="19"/>
      <c r="P208" s="16"/>
      <c r="Q208" s="19"/>
      <c r="R208" s="16"/>
      <c r="S208" s="25"/>
      <c r="T208" s="22"/>
      <c r="U208" s="25"/>
      <c r="V208" s="22"/>
      <c r="W208" s="25"/>
    </row>
    <row r="209" spans="1:23" x14ac:dyDescent="0.2">
      <c r="A209" s="6"/>
      <c r="B209" s="19"/>
      <c r="C209" s="16"/>
      <c r="D209" s="19"/>
      <c r="E209" s="16"/>
      <c r="F209" s="19"/>
      <c r="G209" s="16"/>
      <c r="H209" s="22"/>
      <c r="I209" s="25"/>
      <c r="J209" s="22"/>
      <c r="K209" s="25"/>
      <c r="L209" s="22"/>
      <c r="M209" s="25"/>
      <c r="N209" s="19"/>
      <c r="O209" s="19"/>
      <c r="P209" s="16"/>
      <c r="Q209" s="19"/>
      <c r="R209" s="16"/>
      <c r="S209" s="25"/>
      <c r="T209" s="22"/>
      <c r="U209" s="25"/>
      <c r="V209" s="22"/>
      <c r="W209" s="25"/>
    </row>
    <row r="210" spans="1:23" x14ac:dyDescent="0.2">
      <c r="A210" s="6"/>
      <c r="B210" s="19"/>
      <c r="C210" s="16"/>
      <c r="D210" s="19"/>
      <c r="E210" s="16"/>
      <c r="F210" s="19"/>
      <c r="G210" s="16"/>
      <c r="H210" s="22"/>
      <c r="I210" s="25"/>
      <c r="J210" s="22"/>
      <c r="K210" s="25"/>
      <c r="L210" s="22"/>
      <c r="M210" s="25"/>
      <c r="N210" s="19"/>
      <c r="O210" s="19"/>
      <c r="P210" s="16"/>
      <c r="Q210" s="19"/>
      <c r="R210" s="16"/>
      <c r="S210" s="25"/>
      <c r="T210" s="22"/>
      <c r="U210" s="25"/>
      <c r="V210" s="22"/>
      <c r="W210" s="25"/>
    </row>
    <row r="211" spans="1:23" x14ac:dyDescent="0.2">
      <c r="A211" s="6"/>
      <c r="B211" s="19"/>
      <c r="C211" s="16"/>
      <c r="D211" s="19"/>
      <c r="E211" s="16"/>
      <c r="F211" s="19"/>
      <c r="G211" s="16"/>
      <c r="H211" s="22"/>
      <c r="I211" s="25"/>
      <c r="J211" s="22"/>
      <c r="K211" s="25"/>
      <c r="L211" s="22"/>
      <c r="M211" s="25"/>
      <c r="N211" s="19"/>
      <c r="O211" s="19"/>
      <c r="P211" s="16"/>
      <c r="Q211" s="19"/>
      <c r="R211" s="16"/>
      <c r="S211" s="25"/>
      <c r="T211" s="22"/>
      <c r="U211" s="25"/>
      <c r="V211" s="22"/>
      <c r="W211" s="25"/>
    </row>
    <row r="212" spans="1:23" x14ac:dyDescent="0.2">
      <c r="A212" s="6"/>
      <c r="B212" s="19"/>
      <c r="C212" s="16"/>
      <c r="D212" s="19"/>
      <c r="E212" s="16"/>
      <c r="F212" s="19"/>
      <c r="G212" s="16"/>
      <c r="H212" s="22"/>
      <c r="I212" s="25"/>
      <c r="J212" s="22"/>
      <c r="K212" s="25"/>
      <c r="L212" s="22"/>
      <c r="M212" s="25"/>
      <c r="N212" s="19"/>
      <c r="O212" s="19"/>
      <c r="P212" s="16"/>
      <c r="Q212" s="19"/>
      <c r="R212" s="16"/>
      <c r="S212" s="25"/>
      <c r="T212" s="22"/>
      <c r="U212" s="25"/>
      <c r="V212" s="22"/>
      <c r="W212" s="25"/>
    </row>
    <row r="213" spans="1:23" x14ac:dyDescent="0.2">
      <c r="A213" s="6"/>
      <c r="B213" s="19"/>
      <c r="C213" s="16"/>
      <c r="D213" s="19"/>
      <c r="E213" s="16"/>
      <c r="F213" s="19"/>
      <c r="G213" s="16"/>
      <c r="H213" s="22"/>
      <c r="I213" s="25"/>
      <c r="J213" s="22"/>
      <c r="K213" s="25"/>
      <c r="L213" s="22"/>
      <c r="M213" s="25"/>
      <c r="N213" s="19"/>
      <c r="O213" s="19"/>
      <c r="P213" s="16"/>
      <c r="Q213" s="19"/>
      <c r="R213" s="16"/>
      <c r="S213" s="25"/>
      <c r="T213" s="22"/>
      <c r="U213" s="25"/>
      <c r="V213" s="22"/>
      <c r="W213" s="25"/>
    </row>
    <row r="214" spans="1:23" x14ac:dyDescent="0.2">
      <c r="A214" s="6"/>
      <c r="B214" s="19"/>
      <c r="C214" s="16"/>
      <c r="D214" s="19"/>
      <c r="E214" s="16"/>
      <c r="F214" s="19"/>
      <c r="G214" s="16"/>
      <c r="H214" s="22"/>
      <c r="I214" s="25"/>
      <c r="J214" s="22"/>
      <c r="K214" s="25"/>
      <c r="L214" s="22"/>
      <c r="M214" s="25"/>
      <c r="N214" s="19"/>
      <c r="O214" s="19"/>
      <c r="P214" s="16"/>
      <c r="Q214" s="19"/>
      <c r="R214" s="16"/>
      <c r="S214" s="25"/>
      <c r="T214" s="22"/>
      <c r="U214" s="25"/>
      <c r="V214" s="22"/>
      <c r="W214" s="25"/>
    </row>
    <row r="215" spans="1:23" x14ac:dyDescent="0.2">
      <c r="A215" s="6"/>
      <c r="B215" s="19"/>
      <c r="C215" s="16"/>
      <c r="D215" s="19"/>
      <c r="E215" s="16"/>
      <c r="F215" s="19"/>
      <c r="G215" s="16"/>
      <c r="H215" s="22"/>
      <c r="I215" s="25"/>
      <c r="J215" s="22"/>
      <c r="K215" s="25"/>
      <c r="L215" s="22"/>
      <c r="M215" s="25"/>
      <c r="N215" s="19"/>
      <c r="O215" s="19"/>
      <c r="P215" s="16"/>
      <c r="Q215" s="19"/>
      <c r="R215" s="16"/>
      <c r="S215" s="25"/>
      <c r="T215" s="22"/>
      <c r="U215" s="25"/>
      <c r="V215" s="22"/>
      <c r="W215" s="25"/>
    </row>
    <row r="216" spans="1:23" x14ac:dyDescent="0.2">
      <c r="A216" s="6"/>
      <c r="B216" s="19"/>
      <c r="C216" s="16"/>
      <c r="D216" s="19"/>
      <c r="E216" s="16"/>
      <c r="F216" s="19"/>
      <c r="G216" s="16"/>
      <c r="H216" s="22"/>
      <c r="I216" s="25"/>
      <c r="J216" s="22"/>
      <c r="K216" s="25"/>
      <c r="L216" s="22"/>
      <c r="M216" s="25"/>
      <c r="N216" s="19"/>
      <c r="O216" s="19"/>
      <c r="P216" s="16"/>
      <c r="Q216" s="19"/>
      <c r="R216" s="16"/>
      <c r="S216" s="25"/>
      <c r="T216" s="22"/>
      <c r="U216" s="25"/>
      <c r="V216" s="22"/>
      <c r="W216" s="25"/>
    </row>
    <row r="217" spans="1:23" x14ac:dyDescent="0.2">
      <c r="A217" s="6"/>
      <c r="B217" s="19"/>
      <c r="C217" s="16"/>
      <c r="D217" s="19"/>
      <c r="E217" s="16"/>
      <c r="F217" s="19"/>
      <c r="G217" s="16"/>
      <c r="H217" s="22"/>
      <c r="I217" s="25"/>
      <c r="J217" s="22"/>
      <c r="K217" s="25"/>
      <c r="L217" s="22"/>
      <c r="M217" s="25"/>
      <c r="N217" s="19"/>
      <c r="O217" s="19"/>
      <c r="P217" s="16"/>
      <c r="Q217" s="19"/>
      <c r="R217" s="16"/>
      <c r="S217" s="25"/>
      <c r="T217" s="22"/>
      <c r="U217" s="25"/>
      <c r="V217" s="22"/>
      <c r="W217" s="25"/>
    </row>
    <row r="218" spans="1:23" x14ac:dyDescent="0.2">
      <c r="A218" s="6"/>
      <c r="B218" s="19"/>
      <c r="C218" s="16"/>
      <c r="D218" s="19"/>
      <c r="E218" s="16"/>
      <c r="F218" s="19"/>
      <c r="G218" s="16"/>
      <c r="H218" s="22"/>
      <c r="I218" s="25"/>
      <c r="J218" s="22"/>
      <c r="K218" s="25"/>
      <c r="L218" s="22"/>
      <c r="M218" s="25"/>
      <c r="N218" s="19"/>
      <c r="O218" s="19"/>
      <c r="P218" s="16"/>
      <c r="Q218" s="19"/>
      <c r="R218" s="16"/>
      <c r="S218" s="25"/>
      <c r="T218" s="22"/>
      <c r="U218" s="25"/>
      <c r="V218" s="22"/>
      <c r="W218" s="25"/>
    </row>
    <row r="219" spans="1:23" x14ac:dyDescent="0.2">
      <c r="A219" s="6"/>
      <c r="B219" s="19"/>
      <c r="C219" s="16"/>
      <c r="D219" s="19"/>
      <c r="E219" s="16"/>
      <c r="F219" s="19"/>
      <c r="G219" s="16"/>
      <c r="H219" s="22"/>
      <c r="I219" s="25"/>
      <c r="J219" s="22"/>
      <c r="K219" s="25"/>
      <c r="L219" s="22"/>
      <c r="M219" s="25"/>
      <c r="N219" s="19"/>
      <c r="O219" s="19"/>
      <c r="P219" s="16"/>
      <c r="Q219" s="19"/>
      <c r="R219" s="16"/>
      <c r="S219" s="25"/>
      <c r="T219" s="22"/>
      <c r="U219" s="25"/>
      <c r="V219" s="22"/>
      <c r="W219" s="25"/>
    </row>
    <row r="220" spans="1:23" x14ac:dyDescent="0.2">
      <c r="A220" s="6"/>
      <c r="B220" s="19"/>
      <c r="C220" s="16"/>
      <c r="D220" s="19"/>
      <c r="E220" s="16"/>
      <c r="F220" s="19"/>
      <c r="G220" s="16"/>
      <c r="H220" s="22"/>
      <c r="I220" s="25"/>
      <c r="J220" s="22"/>
      <c r="K220" s="25"/>
      <c r="L220" s="22"/>
      <c r="M220" s="25"/>
      <c r="N220" s="19"/>
      <c r="O220" s="19"/>
      <c r="P220" s="16"/>
      <c r="Q220" s="19"/>
      <c r="R220" s="16"/>
      <c r="S220" s="25"/>
      <c r="T220" s="22"/>
      <c r="U220" s="25"/>
      <c r="V220" s="22"/>
      <c r="W220" s="25"/>
    </row>
    <row r="221" spans="1:23" x14ac:dyDescent="0.2">
      <c r="A221" s="6"/>
      <c r="B221" s="19"/>
      <c r="C221" s="16"/>
      <c r="D221" s="19"/>
      <c r="E221" s="16"/>
      <c r="F221" s="19"/>
      <c r="G221" s="16"/>
      <c r="H221" s="22"/>
      <c r="I221" s="25"/>
      <c r="J221" s="22"/>
      <c r="K221" s="25"/>
      <c r="L221" s="22"/>
      <c r="M221" s="25"/>
      <c r="N221" s="19"/>
      <c r="O221" s="19"/>
      <c r="P221" s="16"/>
      <c r="Q221" s="19"/>
      <c r="R221" s="16"/>
      <c r="S221" s="25"/>
      <c r="T221" s="22"/>
      <c r="U221" s="25"/>
      <c r="V221" s="22"/>
      <c r="W221" s="25"/>
    </row>
    <row r="222" spans="1:23" x14ac:dyDescent="0.2">
      <c r="A222" s="6"/>
      <c r="B222" s="19"/>
      <c r="C222" s="16"/>
      <c r="D222" s="19"/>
      <c r="E222" s="16"/>
      <c r="F222" s="19"/>
      <c r="G222" s="16"/>
      <c r="H222" s="22"/>
      <c r="I222" s="25"/>
      <c r="J222" s="22"/>
      <c r="K222" s="25"/>
      <c r="L222" s="22"/>
      <c r="M222" s="25"/>
      <c r="N222" s="19"/>
      <c r="O222" s="19"/>
      <c r="P222" s="16"/>
      <c r="Q222" s="19"/>
      <c r="R222" s="16"/>
      <c r="S222" s="25"/>
      <c r="T222" s="22"/>
      <c r="U222" s="25"/>
      <c r="V222" s="22"/>
      <c r="W222" s="25"/>
    </row>
    <row r="223" spans="1:23" x14ac:dyDescent="0.2">
      <c r="A223" s="6"/>
      <c r="B223" s="19"/>
      <c r="C223" s="16"/>
      <c r="D223" s="19"/>
      <c r="E223" s="16"/>
      <c r="F223" s="19"/>
      <c r="G223" s="16"/>
      <c r="H223" s="22"/>
      <c r="I223" s="25"/>
      <c r="J223" s="22"/>
      <c r="K223" s="25"/>
      <c r="L223" s="22"/>
      <c r="M223" s="25"/>
      <c r="N223" s="19"/>
      <c r="O223" s="19"/>
      <c r="P223" s="16"/>
      <c r="Q223" s="19"/>
      <c r="R223" s="16"/>
      <c r="S223" s="25"/>
      <c r="T223" s="22"/>
      <c r="U223" s="25"/>
      <c r="V223" s="22"/>
      <c r="W223" s="25"/>
    </row>
    <row r="224" spans="1:23" x14ac:dyDescent="0.2">
      <c r="A224" s="6"/>
      <c r="B224" s="19"/>
      <c r="C224" s="16"/>
      <c r="D224" s="19"/>
      <c r="E224" s="16"/>
      <c r="F224" s="19"/>
      <c r="G224" s="16"/>
      <c r="H224" s="22"/>
      <c r="I224" s="25"/>
      <c r="J224" s="22"/>
      <c r="K224" s="25"/>
      <c r="L224" s="22"/>
      <c r="M224" s="25"/>
      <c r="N224" s="19"/>
      <c r="O224" s="19"/>
      <c r="P224" s="16"/>
      <c r="Q224" s="19"/>
      <c r="R224" s="16"/>
      <c r="S224" s="25"/>
      <c r="T224" s="22"/>
      <c r="U224" s="25"/>
      <c r="V224" s="22"/>
      <c r="W224" s="25"/>
    </row>
    <row r="225" spans="1:23" x14ac:dyDescent="0.2">
      <c r="A225" s="6"/>
      <c r="B225" s="19"/>
      <c r="C225" s="16"/>
      <c r="D225" s="19"/>
      <c r="E225" s="16"/>
      <c r="F225" s="19"/>
      <c r="G225" s="16"/>
      <c r="H225" s="22"/>
      <c r="I225" s="25"/>
      <c r="J225" s="22"/>
      <c r="K225" s="25"/>
      <c r="L225" s="22"/>
      <c r="M225" s="25"/>
      <c r="N225" s="19"/>
      <c r="O225" s="19"/>
      <c r="P225" s="16"/>
      <c r="Q225" s="19"/>
      <c r="R225" s="16"/>
      <c r="S225" s="25"/>
      <c r="T225" s="22"/>
      <c r="U225" s="25"/>
      <c r="V225" s="22"/>
      <c r="W225" s="25"/>
    </row>
    <row r="226" spans="1:23" x14ac:dyDescent="0.2">
      <c r="A226" s="6"/>
      <c r="B226" s="19"/>
      <c r="C226" s="16"/>
      <c r="D226" s="19"/>
      <c r="E226" s="16"/>
      <c r="F226" s="19"/>
      <c r="G226" s="16"/>
      <c r="H226" s="22"/>
      <c r="I226" s="25"/>
      <c r="J226" s="22"/>
      <c r="K226" s="25"/>
      <c r="L226" s="22"/>
      <c r="M226" s="25"/>
      <c r="N226" s="19"/>
      <c r="O226" s="19"/>
      <c r="P226" s="16"/>
      <c r="Q226" s="19"/>
      <c r="R226" s="16"/>
      <c r="S226" s="25"/>
      <c r="T226" s="22"/>
      <c r="U226" s="25"/>
      <c r="V226" s="22"/>
      <c r="W226" s="25"/>
    </row>
    <row r="227" spans="1:23" x14ac:dyDescent="0.2">
      <c r="A227" s="6"/>
      <c r="B227" s="19"/>
      <c r="C227" s="16"/>
      <c r="D227" s="19"/>
      <c r="E227" s="16"/>
      <c r="F227" s="19"/>
      <c r="G227" s="16"/>
      <c r="H227" s="22"/>
      <c r="I227" s="25"/>
      <c r="J227" s="22"/>
      <c r="K227" s="25"/>
      <c r="L227" s="22"/>
      <c r="M227" s="25"/>
      <c r="N227" s="19"/>
      <c r="O227" s="19"/>
      <c r="P227" s="16"/>
      <c r="Q227" s="19"/>
      <c r="R227" s="16"/>
      <c r="S227" s="25"/>
      <c r="T227" s="22"/>
      <c r="U227" s="25"/>
      <c r="V227" s="22"/>
      <c r="W227" s="25"/>
    </row>
    <row r="228" spans="1:23" x14ac:dyDescent="0.2">
      <c r="A228" s="6"/>
      <c r="B228" s="19"/>
      <c r="C228" s="16"/>
      <c r="D228" s="19"/>
      <c r="E228" s="16"/>
      <c r="F228" s="19"/>
      <c r="G228" s="16"/>
      <c r="H228" s="22"/>
      <c r="I228" s="25"/>
      <c r="J228" s="22"/>
      <c r="K228" s="25"/>
      <c r="L228" s="22"/>
      <c r="M228" s="25"/>
      <c r="N228" s="19"/>
      <c r="O228" s="19"/>
      <c r="P228" s="16"/>
      <c r="Q228" s="19"/>
      <c r="R228" s="16"/>
      <c r="S228" s="25"/>
      <c r="T228" s="22"/>
      <c r="U228" s="25"/>
      <c r="V228" s="22"/>
      <c r="W228" s="25"/>
    </row>
    <row r="229" spans="1:23" x14ac:dyDescent="0.2">
      <c r="A229" s="6"/>
      <c r="B229" s="19"/>
      <c r="C229" s="16"/>
      <c r="D229" s="19"/>
      <c r="E229" s="16"/>
      <c r="F229" s="19"/>
      <c r="G229" s="16"/>
      <c r="H229" s="22"/>
      <c r="I229" s="25"/>
      <c r="J229" s="22"/>
      <c r="K229" s="25"/>
      <c r="L229" s="22"/>
      <c r="M229" s="25"/>
      <c r="N229" s="19"/>
      <c r="O229" s="19"/>
      <c r="P229" s="16"/>
      <c r="Q229" s="19"/>
      <c r="R229" s="16"/>
      <c r="S229" s="25"/>
      <c r="T229" s="22"/>
      <c r="U229" s="25"/>
      <c r="V229" s="22"/>
      <c r="W229" s="25"/>
    </row>
    <row r="230" spans="1:23" x14ac:dyDescent="0.2">
      <c r="A230" s="6"/>
      <c r="B230" s="19"/>
      <c r="C230" s="16"/>
      <c r="D230" s="19"/>
      <c r="E230" s="16"/>
      <c r="F230" s="19"/>
      <c r="G230" s="16"/>
      <c r="H230" s="22"/>
      <c r="I230" s="25"/>
      <c r="J230" s="22"/>
      <c r="K230" s="25"/>
      <c r="L230" s="22"/>
      <c r="M230" s="25"/>
      <c r="N230" s="19"/>
      <c r="O230" s="19"/>
      <c r="P230" s="16"/>
      <c r="Q230" s="19"/>
      <c r="R230" s="16"/>
      <c r="S230" s="25"/>
      <c r="T230" s="22"/>
      <c r="U230" s="25"/>
      <c r="V230" s="22"/>
      <c r="W230" s="25"/>
    </row>
    <row r="231" spans="1:23" x14ac:dyDescent="0.2">
      <c r="A231" s="6"/>
      <c r="B231" s="19"/>
      <c r="C231" s="16"/>
      <c r="D231" s="19"/>
      <c r="E231" s="16"/>
      <c r="F231" s="19"/>
      <c r="G231" s="16"/>
      <c r="H231" s="22"/>
      <c r="I231" s="25"/>
      <c r="J231" s="22"/>
      <c r="K231" s="25"/>
      <c r="L231" s="22"/>
      <c r="M231" s="25"/>
      <c r="N231" s="19"/>
      <c r="O231" s="19"/>
      <c r="P231" s="16"/>
      <c r="Q231" s="19"/>
      <c r="R231" s="16"/>
      <c r="S231" s="25"/>
      <c r="T231" s="22"/>
      <c r="U231" s="25"/>
      <c r="V231" s="22"/>
      <c r="W231" s="25"/>
    </row>
    <row r="232" spans="1:23" x14ac:dyDescent="0.2">
      <c r="A232" s="6"/>
      <c r="B232" s="19"/>
      <c r="C232" s="16"/>
      <c r="D232" s="19"/>
      <c r="E232" s="16"/>
      <c r="F232" s="19"/>
      <c r="G232" s="16"/>
      <c r="H232" s="22"/>
      <c r="I232" s="25"/>
      <c r="J232" s="22"/>
      <c r="K232" s="25"/>
      <c r="L232" s="22"/>
      <c r="M232" s="25"/>
      <c r="N232" s="19"/>
      <c r="O232" s="19"/>
      <c r="P232" s="16"/>
      <c r="Q232" s="19"/>
      <c r="R232" s="16"/>
      <c r="S232" s="25"/>
      <c r="T232" s="22"/>
      <c r="U232" s="25"/>
      <c r="V232" s="22"/>
      <c r="W232" s="25"/>
    </row>
    <row r="233" spans="1:23" x14ac:dyDescent="0.2">
      <c r="A233" s="6"/>
      <c r="B233" s="19"/>
      <c r="C233" s="16"/>
      <c r="D233" s="19"/>
      <c r="E233" s="16"/>
      <c r="F233" s="19"/>
      <c r="G233" s="16"/>
      <c r="H233" s="22"/>
      <c r="I233" s="25"/>
      <c r="J233" s="22"/>
      <c r="K233" s="25"/>
      <c r="L233" s="22"/>
      <c r="M233" s="25"/>
      <c r="N233" s="19"/>
      <c r="O233" s="19"/>
      <c r="P233" s="16"/>
      <c r="Q233" s="19"/>
      <c r="R233" s="16"/>
      <c r="S233" s="25"/>
      <c r="T233" s="22"/>
      <c r="U233" s="25"/>
      <c r="V233" s="22"/>
      <c r="W233" s="25"/>
    </row>
    <row r="234" spans="1:23" x14ac:dyDescent="0.2">
      <c r="A234" s="6"/>
      <c r="B234" s="19"/>
      <c r="C234" s="16"/>
      <c r="D234" s="19"/>
      <c r="E234" s="16"/>
      <c r="F234" s="19"/>
      <c r="G234" s="16"/>
      <c r="H234" s="22"/>
      <c r="I234" s="25"/>
      <c r="J234" s="22"/>
      <c r="K234" s="25"/>
      <c r="L234" s="22"/>
      <c r="M234" s="25"/>
      <c r="N234" s="19"/>
      <c r="O234" s="19"/>
      <c r="P234" s="16"/>
      <c r="Q234" s="19"/>
      <c r="R234" s="16"/>
      <c r="S234" s="25"/>
      <c r="T234" s="22"/>
      <c r="U234" s="25"/>
      <c r="V234" s="22"/>
      <c r="W234" s="25"/>
    </row>
    <row r="235" spans="1:23" x14ac:dyDescent="0.2">
      <c r="A235" s="6"/>
      <c r="B235" s="19"/>
      <c r="C235" s="16"/>
      <c r="D235" s="19"/>
      <c r="E235" s="16"/>
      <c r="F235" s="19"/>
      <c r="G235" s="16"/>
      <c r="H235" s="22"/>
      <c r="I235" s="25"/>
      <c r="J235" s="22"/>
      <c r="K235" s="25"/>
      <c r="L235" s="22"/>
      <c r="M235" s="25"/>
      <c r="N235" s="19"/>
      <c r="O235" s="19"/>
      <c r="P235" s="16"/>
      <c r="Q235" s="19"/>
      <c r="R235" s="16"/>
      <c r="S235" s="25"/>
      <c r="T235" s="22"/>
      <c r="U235" s="25"/>
      <c r="V235" s="22"/>
      <c r="W235" s="25"/>
    </row>
    <row r="236" spans="1:23" x14ac:dyDescent="0.2">
      <c r="A236" s="6"/>
      <c r="B236" s="19"/>
      <c r="C236" s="16"/>
      <c r="D236" s="19"/>
      <c r="E236" s="16"/>
      <c r="F236" s="19"/>
      <c r="G236" s="16"/>
      <c r="H236" s="22"/>
      <c r="I236" s="25"/>
      <c r="J236" s="22"/>
      <c r="K236" s="25"/>
      <c r="L236" s="22"/>
      <c r="M236" s="25"/>
      <c r="N236" s="19"/>
      <c r="O236" s="19"/>
      <c r="P236" s="16"/>
      <c r="Q236" s="19"/>
      <c r="R236" s="16"/>
      <c r="S236" s="25"/>
      <c r="T236" s="22"/>
      <c r="U236" s="25"/>
      <c r="V236" s="22"/>
      <c r="W236" s="25"/>
    </row>
    <row r="237" spans="1:23" x14ac:dyDescent="0.2">
      <c r="A237" s="6"/>
      <c r="B237" s="19"/>
      <c r="C237" s="16"/>
      <c r="D237" s="19"/>
      <c r="E237" s="16"/>
      <c r="F237" s="19"/>
      <c r="G237" s="16"/>
      <c r="H237" s="22"/>
      <c r="I237" s="25"/>
      <c r="J237" s="22"/>
      <c r="K237" s="25"/>
      <c r="L237" s="22"/>
      <c r="M237" s="25"/>
      <c r="N237" s="19"/>
      <c r="O237" s="19"/>
      <c r="P237" s="16"/>
      <c r="Q237" s="19"/>
      <c r="R237" s="16"/>
      <c r="S237" s="25"/>
      <c r="T237" s="22"/>
      <c r="U237" s="25"/>
      <c r="V237" s="22"/>
      <c r="W237" s="25"/>
    </row>
    <row r="238" spans="1:23" x14ac:dyDescent="0.2">
      <c r="A238" s="6"/>
      <c r="B238" s="19"/>
      <c r="C238" s="16"/>
      <c r="D238" s="19"/>
      <c r="E238" s="16"/>
      <c r="F238" s="19"/>
      <c r="G238" s="16"/>
      <c r="H238" s="22"/>
      <c r="I238" s="25"/>
      <c r="J238" s="22"/>
      <c r="K238" s="25"/>
      <c r="L238" s="22"/>
      <c r="M238" s="25"/>
      <c r="N238" s="19"/>
      <c r="O238" s="19"/>
      <c r="P238" s="16"/>
      <c r="Q238" s="19"/>
      <c r="R238" s="16"/>
      <c r="S238" s="25"/>
      <c r="T238" s="22"/>
      <c r="U238" s="25"/>
      <c r="V238" s="22"/>
      <c r="W238" s="25"/>
    </row>
    <row r="239" spans="1:23" x14ac:dyDescent="0.2">
      <c r="A239" s="6"/>
      <c r="B239" s="19"/>
      <c r="C239" s="16"/>
      <c r="D239" s="19"/>
      <c r="E239" s="16"/>
      <c r="F239" s="19"/>
      <c r="G239" s="16"/>
      <c r="H239" s="22"/>
      <c r="I239" s="25"/>
      <c r="J239" s="22"/>
      <c r="K239" s="25"/>
      <c r="L239" s="22"/>
      <c r="M239" s="25"/>
      <c r="N239" s="19"/>
      <c r="O239" s="19"/>
      <c r="P239" s="16"/>
      <c r="Q239" s="19"/>
      <c r="R239" s="16"/>
      <c r="S239" s="25"/>
      <c r="T239" s="22"/>
      <c r="U239" s="25"/>
      <c r="V239" s="22"/>
      <c r="W239" s="25"/>
    </row>
    <row r="240" spans="1:23" x14ac:dyDescent="0.2">
      <c r="A240" s="6"/>
      <c r="B240" s="19"/>
      <c r="C240" s="16"/>
      <c r="D240" s="19"/>
      <c r="E240" s="16"/>
      <c r="F240" s="19"/>
      <c r="G240" s="16"/>
      <c r="H240" s="22"/>
      <c r="I240" s="25"/>
      <c r="J240" s="22"/>
      <c r="K240" s="25"/>
      <c r="L240" s="22"/>
      <c r="M240" s="25"/>
      <c r="N240" s="19"/>
      <c r="O240" s="19"/>
      <c r="P240" s="16"/>
      <c r="Q240" s="19"/>
      <c r="R240" s="16"/>
      <c r="S240" s="25"/>
      <c r="T240" s="22"/>
      <c r="U240" s="25"/>
      <c r="V240" s="22"/>
      <c r="W240" s="25"/>
    </row>
    <row r="241" spans="1:23" x14ac:dyDescent="0.2">
      <c r="A241" s="6"/>
      <c r="B241" s="19"/>
      <c r="C241" s="16"/>
      <c r="D241" s="19"/>
      <c r="E241" s="16"/>
      <c r="F241" s="19"/>
      <c r="G241" s="16"/>
      <c r="H241" s="22"/>
      <c r="I241" s="25"/>
      <c r="J241" s="22"/>
      <c r="K241" s="25"/>
      <c r="L241" s="22"/>
      <c r="M241" s="25"/>
      <c r="N241" s="19"/>
      <c r="O241" s="19"/>
      <c r="P241" s="16"/>
      <c r="Q241" s="19"/>
      <c r="R241" s="16"/>
      <c r="S241" s="25"/>
      <c r="T241" s="22"/>
      <c r="U241" s="25"/>
      <c r="V241" s="22"/>
      <c r="W241" s="25"/>
    </row>
    <row r="242" spans="1:23" x14ac:dyDescent="0.2">
      <c r="A242" s="6"/>
      <c r="B242" s="19"/>
      <c r="C242" s="16"/>
      <c r="D242" s="19"/>
      <c r="E242" s="16"/>
      <c r="F242" s="19"/>
      <c r="G242" s="16"/>
      <c r="H242" s="22"/>
      <c r="I242" s="25"/>
      <c r="J242" s="22"/>
      <c r="K242" s="25"/>
      <c r="L242" s="22"/>
      <c r="M242" s="25"/>
      <c r="N242" s="19"/>
      <c r="O242" s="19"/>
      <c r="P242" s="16"/>
      <c r="Q242" s="19"/>
      <c r="R242" s="16"/>
      <c r="S242" s="25"/>
      <c r="T242" s="22"/>
      <c r="U242" s="25"/>
      <c r="V242" s="22"/>
      <c r="W242" s="25"/>
    </row>
    <row r="243" spans="1:23" x14ac:dyDescent="0.2">
      <c r="A243" s="6"/>
      <c r="B243" s="19"/>
      <c r="C243" s="16"/>
      <c r="D243" s="19"/>
      <c r="E243" s="16"/>
      <c r="F243" s="19"/>
      <c r="G243" s="16"/>
      <c r="H243" s="22"/>
      <c r="I243" s="25"/>
      <c r="J243" s="22"/>
      <c r="K243" s="25"/>
      <c r="L243" s="22"/>
      <c r="M243" s="25"/>
      <c r="N243" s="19"/>
      <c r="O243" s="19"/>
      <c r="P243" s="16"/>
      <c r="Q243" s="19"/>
      <c r="R243" s="16"/>
      <c r="S243" s="25"/>
      <c r="T243" s="22"/>
      <c r="U243" s="25"/>
      <c r="V243" s="22"/>
      <c r="W243" s="25"/>
    </row>
    <row r="244" spans="1:23" x14ac:dyDescent="0.2">
      <c r="A244" s="6"/>
      <c r="B244" s="19"/>
      <c r="C244" s="16"/>
      <c r="D244" s="19"/>
      <c r="E244" s="16"/>
      <c r="F244" s="19"/>
      <c r="G244" s="16"/>
      <c r="H244" s="22"/>
      <c r="I244" s="25"/>
      <c r="J244" s="22"/>
      <c r="K244" s="25"/>
      <c r="L244" s="22"/>
      <c r="M244" s="25"/>
      <c r="N244" s="19"/>
      <c r="O244" s="19"/>
      <c r="P244" s="16"/>
      <c r="Q244" s="19"/>
      <c r="R244" s="16"/>
      <c r="S244" s="25"/>
      <c r="T244" s="22"/>
      <c r="U244" s="25"/>
      <c r="V244" s="22"/>
      <c r="W244" s="25"/>
    </row>
    <row r="245" spans="1:23" x14ac:dyDescent="0.2">
      <c r="A245" s="6"/>
      <c r="B245" s="19"/>
      <c r="C245" s="16"/>
      <c r="D245" s="19"/>
      <c r="E245" s="16"/>
      <c r="F245" s="19"/>
      <c r="G245" s="16"/>
      <c r="H245" s="22"/>
      <c r="I245" s="25"/>
      <c r="J245" s="22"/>
      <c r="K245" s="25"/>
      <c r="L245" s="22"/>
      <c r="M245" s="25"/>
      <c r="N245" s="19"/>
      <c r="O245" s="19"/>
      <c r="P245" s="16"/>
      <c r="Q245" s="19"/>
      <c r="R245" s="16"/>
      <c r="S245" s="25"/>
      <c r="T245" s="22"/>
      <c r="U245" s="25"/>
      <c r="V245" s="22"/>
      <c r="W245" s="25"/>
    </row>
    <row r="246" spans="1:23" x14ac:dyDescent="0.2">
      <c r="A246" s="6"/>
      <c r="B246" s="19"/>
      <c r="C246" s="16"/>
      <c r="D246" s="19"/>
      <c r="E246" s="16"/>
      <c r="F246" s="19"/>
      <c r="G246" s="16"/>
      <c r="H246" s="22"/>
      <c r="I246" s="25"/>
      <c r="J246" s="22"/>
      <c r="K246" s="25"/>
      <c r="L246" s="22"/>
      <c r="M246" s="25"/>
      <c r="N246" s="19"/>
      <c r="O246" s="19"/>
      <c r="P246" s="16"/>
      <c r="Q246" s="19"/>
      <c r="R246" s="16"/>
      <c r="S246" s="25"/>
      <c r="T246" s="22"/>
      <c r="U246" s="25"/>
      <c r="V246" s="22"/>
      <c r="W246" s="25"/>
    </row>
    <row r="247" spans="1:23" x14ac:dyDescent="0.2">
      <c r="A247" s="6"/>
      <c r="B247" s="19"/>
      <c r="C247" s="16"/>
      <c r="D247" s="19"/>
      <c r="E247" s="16"/>
      <c r="F247" s="19"/>
      <c r="G247" s="16"/>
      <c r="H247" s="22"/>
      <c r="I247" s="25"/>
      <c r="J247" s="22"/>
      <c r="K247" s="25"/>
      <c r="L247" s="22"/>
      <c r="M247" s="25"/>
      <c r="N247" s="19"/>
      <c r="O247" s="19"/>
      <c r="P247" s="16"/>
      <c r="Q247" s="19"/>
      <c r="R247" s="16"/>
      <c r="S247" s="25"/>
      <c r="T247" s="22"/>
      <c r="U247" s="25"/>
      <c r="V247" s="22"/>
      <c r="W247" s="25"/>
    </row>
    <row r="248" spans="1:23" x14ac:dyDescent="0.2">
      <c r="A248" s="6"/>
      <c r="B248" s="19"/>
      <c r="C248" s="16"/>
      <c r="D248" s="19"/>
      <c r="E248" s="16"/>
      <c r="F248" s="19"/>
      <c r="G248" s="16"/>
      <c r="H248" s="22"/>
      <c r="I248" s="25"/>
      <c r="J248" s="22"/>
      <c r="K248" s="25"/>
      <c r="L248" s="22"/>
      <c r="M248" s="25"/>
      <c r="N248" s="19"/>
      <c r="O248" s="19"/>
      <c r="P248" s="16"/>
      <c r="Q248" s="19"/>
      <c r="R248" s="16"/>
      <c r="S248" s="25"/>
      <c r="T248" s="22"/>
      <c r="U248" s="25"/>
      <c r="V248" s="22"/>
      <c r="W248" s="25"/>
    </row>
    <row r="249" spans="1:23" x14ac:dyDescent="0.2">
      <c r="A249" s="6"/>
      <c r="B249" s="19"/>
      <c r="C249" s="16"/>
      <c r="D249" s="19"/>
      <c r="E249" s="16"/>
      <c r="F249" s="19"/>
      <c r="G249" s="16"/>
      <c r="H249" s="22"/>
      <c r="I249" s="25"/>
      <c r="J249" s="22"/>
      <c r="K249" s="25"/>
      <c r="L249" s="22"/>
      <c r="M249" s="25"/>
      <c r="N249" s="19"/>
      <c r="O249" s="19"/>
      <c r="P249" s="16"/>
      <c r="Q249" s="19"/>
      <c r="R249" s="16"/>
      <c r="S249" s="25"/>
      <c r="T249" s="22"/>
      <c r="U249" s="25"/>
      <c r="V249" s="22"/>
      <c r="W249" s="25"/>
    </row>
    <row r="250" spans="1:23" x14ac:dyDescent="0.2">
      <c r="A250" s="6"/>
      <c r="B250" s="19"/>
      <c r="C250" s="16"/>
      <c r="D250" s="19"/>
      <c r="E250" s="16"/>
      <c r="F250" s="19"/>
      <c r="G250" s="16"/>
      <c r="H250" s="22"/>
      <c r="I250" s="25"/>
      <c r="J250" s="22"/>
      <c r="K250" s="25"/>
      <c r="L250" s="22"/>
      <c r="M250" s="25"/>
      <c r="N250" s="19"/>
      <c r="O250" s="19"/>
      <c r="P250" s="16"/>
      <c r="Q250" s="19"/>
      <c r="R250" s="16"/>
      <c r="S250" s="25"/>
      <c r="T250" s="22"/>
      <c r="U250" s="25"/>
      <c r="V250" s="22"/>
      <c r="W250" s="25"/>
    </row>
    <row r="251" spans="1:23" x14ac:dyDescent="0.2">
      <c r="A251" s="6"/>
      <c r="B251" s="19"/>
      <c r="C251" s="16"/>
      <c r="D251" s="19"/>
      <c r="E251" s="16"/>
      <c r="F251" s="19"/>
      <c r="G251" s="16"/>
      <c r="H251" s="22"/>
      <c r="I251" s="25"/>
      <c r="J251" s="22"/>
      <c r="K251" s="25"/>
      <c r="L251" s="22"/>
      <c r="M251" s="25"/>
      <c r="N251" s="19"/>
      <c r="O251" s="19"/>
      <c r="P251" s="16"/>
      <c r="Q251" s="19"/>
      <c r="R251" s="16"/>
      <c r="S251" s="25"/>
      <c r="T251" s="22"/>
      <c r="U251" s="25"/>
      <c r="V251" s="22"/>
      <c r="W251" s="25"/>
    </row>
    <row r="252" spans="1:23" x14ac:dyDescent="0.2">
      <c r="A252" s="6"/>
      <c r="B252" s="19"/>
      <c r="C252" s="16"/>
      <c r="D252" s="19"/>
      <c r="E252" s="16"/>
      <c r="F252" s="19"/>
      <c r="G252" s="16"/>
      <c r="H252" s="22"/>
      <c r="I252" s="25"/>
      <c r="J252" s="22"/>
      <c r="K252" s="25"/>
      <c r="L252" s="22"/>
      <c r="M252" s="25"/>
      <c r="N252" s="19"/>
      <c r="O252" s="19"/>
      <c r="P252" s="16"/>
      <c r="Q252" s="19"/>
      <c r="R252" s="16"/>
      <c r="S252" s="25"/>
      <c r="T252" s="22"/>
      <c r="U252" s="25"/>
      <c r="V252" s="22"/>
      <c r="W252" s="25"/>
    </row>
    <row r="253" spans="1:23" x14ac:dyDescent="0.2">
      <c r="A253" s="6"/>
      <c r="B253" s="19"/>
      <c r="C253" s="16"/>
      <c r="D253" s="19"/>
      <c r="E253" s="16"/>
      <c r="F253" s="19"/>
      <c r="G253" s="16"/>
      <c r="H253" s="22"/>
      <c r="I253" s="25"/>
      <c r="J253" s="22"/>
      <c r="K253" s="25"/>
      <c r="L253" s="22"/>
      <c r="M253" s="25"/>
      <c r="N253" s="19"/>
      <c r="O253" s="19"/>
      <c r="P253" s="16"/>
      <c r="Q253" s="19"/>
      <c r="R253" s="16"/>
      <c r="S253" s="25"/>
      <c r="T253" s="22"/>
      <c r="U253" s="25"/>
      <c r="V253" s="22"/>
      <c r="W253" s="25"/>
    </row>
    <row r="254" spans="1:23" x14ac:dyDescent="0.2">
      <c r="A254" s="6"/>
      <c r="B254" s="19"/>
      <c r="C254" s="16"/>
      <c r="D254" s="19"/>
      <c r="E254" s="16"/>
      <c r="F254" s="19"/>
      <c r="G254" s="16"/>
      <c r="H254" s="22"/>
      <c r="I254" s="25"/>
      <c r="J254" s="22"/>
      <c r="K254" s="25"/>
      <c r="L254" s="22"/>
      <c r="M254" s="25"/>
      <c r="N254" s="19"/>
      <c r="O254" s="19"/>
      <c r="P254" s="16"/>
      <c r="Q254" s="19"/>
      <c r="R254" s="16"/>
      <c r="S254" s="25"/>
      <c r="T254" s="22"/>
      <c r="U254" s="25"/>
      <c r="V254" s="22"/>
      <c r="W254" s="25"/>
    </row>
    <row r="255" spans="1:23" x14ac:dyDescent="0.2">
      <c r="A255" s="6"/>
      <c r="B255" s="19"/>
      <c r="C255" s="16"/>
      <c r="D255" s="19"/>
      <c r="E255" s="16"/>
      <c r="F255" s="19"/>
      <c r="G255" s="16"/>
      <c r="H255" s="22"/>
      <c r="I255" s="25"/>
      <c r="J255" s="22"/>
      <c r="K255" s="25"/>
      <c r="L255" s="22"/>
      <c r="M255" s="25"/>
      <c r="N255" s="19"/>
      <c r="O255" s="19"/>
      <c r="P255" s="16"/>
      <c r="Q255" s="19"/>
      <c r="R255" s="16"/>
      <c r="S255" s="25"/>
      <c r="T255" s="22"/>
      <c r="U255" s="25"/>
      <c r="V255" s="22"/>
      <c r="W255" s="25"/>
    </row>
    <row r="256" spans="1:23" x14ac:dyDescent="0.2">
      <c r="A256" s="6"/>
      <c r="B256" s="19"/>
      <c r="C256" s="16"/>
      <c r="D256" s="19"/>
      <c r="E256" s="16"/>
      <c r="F256" s="19"/>
      <c r="G256" s="16"/>
      <c r="H256" s="22"/>
      <c r="I256" s="25"/>
      <c r="J256" s="22"/>
      <c r="K256" s="25"/>
      <c r="L256" s="22"/>
      <c r="M256" s="25"/>
      <c r="N256" s="19"/>
      <c r="O256" s="19"/>
      <c r="P256" s="16"/>
      <c r="Q256" s="19"/>
      <c r="R256" s="16"/>
      <c r="S256" s="25"/>
      <c r="T256" s="22"/>
      <c r="U256" s="25"/>
      <c r="V256" s="22"/>
      <c r="W256" s="25"/>
    </row>
    <row r="257" spans="1:23" x14ac:dyDescent="0.2">
      <c r="A257" s="6"/>
      <c r="B257" s="19"/>
      <c r="C257" s="16"/>
      <c r="D257" s="19"/>
      <c r="E257" s="16"/>
      <c r="F257" s="19"/>
      <c r="G257" s="16"/>
      <c r="H257" s="22"/>
      <c r="I257" s="25"/>
      <c r="J257" s="22"/>
      <c r="K257" s="25"/>
      <c r="L257" s="22"/>
      <c r="M257" s="25"/>
      <c r="N257" s="19"/>
      <c r="O257" s="19"/>
      <c r="P257" s="16"/>
      <c r="Q257" s="19"/>
      <c r="R257" s="16"/>
      <c r="S257" s="25"/>
      <c r="T257" s="22"/>
      <c r="U257" s="25"/>
      <c r="V257" s="22"/>
      <c r="W257" s="25"/>
    </row>
    <row r="258" spans="1:23" x14ac:dyDescent="0.2">
      <c r="A258" s="6"/>
      <c r="B258" s="19"/>
      <c r="C258" s="16"/>
      <c r="D258" s="19"/>
      <c r="E258" s="16"/>
      <c r="F258" s="19"/>
      <c r="G258" s="16"/>
      <c r="H258" s="22"/>
      <c r="I258" s="25"/>
      <c r="J258" s="22"/>
      <c r="K258" s="25"/>
      <c r="L258" s="22"/>
      <c r="M258" s="25"/>
      <c r="N258" s="19"/>
      <c r="O258" s="19"/>
      <c r="P258" s="16"/>
      <c r="Q258" s="19"/>
      <c r="R258" s="16"/>
      <c r="S258" s="25"/>
      <c r="T258" s="22"/>
      <c r="U258" s="25"/>
      <c r="V258" s="22"/>
      <c r="W258" s="25"/>
    </row>
    <row r="259" spans="1:23" x14ac:dyDescent="0.2">
      <c r="A259" s="6"/>
      <c r="B259" s="19"/>
      <c r="C259" s="16"/>
      <c r="D259" s="19"/>
      <c r="E259" s="16"/>
      <c r="F259" s="19"/>
      <c r="G259" s="16"/>
      <c r="H259" s="22"/>
      <c r="I259" s="25"/>
      <c r="J259" s="22"/>
      <c r="K259" s="25"/>
      <c r="L259" s="22"/>
      <c r="M259" s="25"/>
      <c r="N259" s="19"/>
      <c r="O259" s="19"/>
      <c r="P259" s="16"/>
      <c r="Q259" s="19"/>
      <c r="R259" s="16"/>
      <c r="S259" s="25"/>
      <c r="T259" s="22"/>
      <c r="U259" s="25"/>
      <c r="V259" s="22"/>
      <c r="W259" s="25"/>
    </row>
    <row r="260" spans="1:23" x14ac:dyDescent="0.2">
      <c r="A260" s="6"/>
      <c r="B260" s="19"/>
      <c r="C260" s="16"/>
      <c r="D260" s="19"/>
      <c r="E260" s="16"/>
      <c r="F260" s="19"/>
      <c r="G260" s="16"/>
      <c r="H260" s="22"/>
      <c r="I260" s="25"/>
      <c r="J260" s="22"/>
      <c r="K260" s="25"/>
      <c r="L260" s="22"/>
      <c r="M260" s="25"/>
      <c r="N260" s="19"/>
      <c r="O260" s="19"/>
      <c r="P260" s="16"/>
      <c r="Q260" s="19"/>
      <c r="R260" s="16"/>
      <c r="S260" s="25"/>
      <c r="T260" s="22"/>
      <c r="U260" s="25"/>
      <c r="V260" s="22"/>
      <c r="W260" s="25"/>
    </row>
    <row r="261" spans="1:23" x14ac:dyDescent="0.2">
      <c r="A261" s="6"/>
      <c r="B261" s="19"/>
      <c r="C261" s="16"/>
      <c r="D261" s="19"/>
      <c r="E261" s="16"/>
      <c r="F261" s="19"/>
      <c r="G261" s="16"/>
      <c r="H261" s="22"/>
      <c r="I261" s="25"/>
      <c r="J261" s="22"/>
      <c r="K261" s="25"/>
      <c r="L261" s="22"/>
      <c r="M261" s="25"/>
      <c r="N261" s="19"/>
      <c r="O261" s="19"/>
      <c r="P261" s="16"/>
      <c r="Q261" s="19"/>
      <c r="R261" s="16"/>
      <c r="S261" s="25"/>
      <c r="T261" s="22"/>
      <c r="U261" s="25"/>
      <c r="V261" s="22"/>
      <c r="W261" s="25"/>
    </row>
    <row r="262" spans="1:23" x14ac:dyDescent="0.2">
      <c r="A262" s="6"/>
      <c r="B262" s="19"/>
      <c r="C262" s="16"/>
      <c r="D262" s="19"/>
      <c r="E262" s="16"/>
      <c r="F262" s="19"/>
      <c r="G262" s="16"/>
      <c r="H262" s="22"/>
      <c r="I262" s="25"/>
      <c r="J262" s="22"/>
      <c r="K262" s="25"/>
      <c r="L262" s="22"/>
      <c r="M262" s="25"/>
      <c r="N262" s="19"/>
      <c r="O262" s="19"/>
      <c r="P262" s="16"/>
      <c r="Q262" s="19"/>
      <c r="R262" s="16"/>
      <c r="S262" s="25"/>
      <c r="T262" s="22"/>
      <c r="U262" s="25"/>
      <c r="V262" s="22"/>
      <c r="W262" s="25"/>
    </row>
    <row r="263" spans="1:23" x14ac:dyDescent="0.2">
      <c r="A263" s="6"/>
      <c r="B263" s="19"/>
      <c r="C263" s="16"/>
      <c r="D263" s="19"/>
      <c r="E263" s="16"/>
      <c r="F263" s="19"/>
      <c r="G263" s="16"/>
      <c r="H263" s="22"/>
      <c r="I263" s="25"/>
      <c r="J263" s="22"/>
      <c r="K263" s="25"/>
      <c r="L263" s="22"/>
      <c r="M263" s="25"/>
      <c r="N263" s="19"/>
      <c r="O263" s="19"/>
      <c r="P263" s="16"/>
      <c r="Q263" s="19"/>
      <c r="R263" s="16"/>
      <c r="S263" s="25"/>
      <c r="T263" s="22"/>
      <c r="U263" s="25"/>
      <c r="V263" s="22"/>
      <c r="W263" s="25"/>
    </row>
    <row r="264" spans="1:23" x14ac:dyDescent="0.2">
      <c r="A264" s="6"/>
      <c r="B264" s="19"/>
      <c r="C264" s="16"/>
      <c r="D264" s="19"/>
      <c r="E264" s="16"/>
      <c r="F264" s="19"/>
      <c r="G264" s="16"/>
      <c r="H264" s="22"/>
      <c r="I264" s="25"/>
      <c r="J264" s="22"/>
      <c r="K264" s="25"/>
      <c r="L264" s="22"/>
      <c r="M264" s="25"/>
      <c r="N264" s="19"/>
      <c r="O264" s="19"/>
      <c r="P264" s="16"/>
      <c r="Q264" s="19"/>
      <c r="R264" s="16"/>
      <c r="S264" s="25"/>
      <c r="T264" s="22"/>
      <c r="U264" s="25"/>
      <c r="V264" s="22"/>
      <c r="W264" s="25"/>
    </row>
    <row r="265" spans="1:23" x14ac:dyDescent="0.2">
      <c r="A265" s="6"/>
      <c r="B265" s="19"/>
      <c r="C265" s="16"/>
      <c r="D265" s="19"/>
      <c r="E265" s="16"/>
      <c r="F265" s="19"/>
      <c r="G265" s="16"/>
      <c r="H265" s="22"/>
      <c r="I265" s="25"/>
      <c r="J265" s="22"/>
      <c r="K265" s="25"/>
      <c r="L265" s="22"/>
      <c r="M265" s="25"/>
      <c r="N265" s="19"/>
      <c r="O265" s="19"/>
      <c r="P265" s="16"/>
      <c r="Q265" s="19"/>
      <c r="R265" s="16"/>
      <c r="S265" s="25"/>
      <c r="T265" s="22"/>
      <c r="U265" s="25"/>
      <c r="V265" s="22"/>
      <c r="W265" s="25"/>
    </row>
    <row r="266" spans="1:23" x14ac:dyDescent="0.2">
      <c r="A266" s="6"/>
      <c r="B266" s="19"/>
      <c r="C266" s="16"/>
      <c r="D266" s="19"/>
      <c r="E266" s="16"/>
      <c r="F266" s="19"/>
      <c r="G266" s="16"/>
      <c r="H266" s="22"/>
      <c r="I266" s="25"/>
      <c r="J266" s="22"/>
      <c r="K266" s="25"/>
      <c r="L266" s="22"/>
      <c r="M266" s="25"/>
      <c r="N266" s="19"/>
      <c r="O266" s="19"/>
      <c r="P266" s="16"/>
      <c r="Q266" s="19"/>
      <c r="R266" s="16"/>
      <c r="S266" s="25"/>
      <c r="T266" s="22"/>
      <c r="U266" s="25"/>
      <c r="V266" s="22"/>
      <c r="W266" s="25"/>
    </row>
    <row r="267" spans="1:23" x14ac:dyDescent="0.2">
      <c r="A267" s="6"/>
      <c r="B267" s="19"/>
      <c r="C267" s="16"/>
      <c r="D267" s="19"/>
      <c r="E267" s="16"/>
      <c r="F267" s="19"/>
      <c r="G267" s="16"/>
      <c r="H267" s="22"/>
      <c r="I267" s="25"/>
      <c r="J267" s="22"/>
      <c r="K267" s="25"/>
      <c r="L267" s="22"/>
      <c r="M267" s="25"/>
      <c r="N267" s="19"/>
      <c r="O267" s="19"/>
      <c r="P267" s="16"/>
      <c r="Q267" s="19"/>
      <c r="R267" s="16"/>
      <c r="S267" s="25"/>
      <c r="T267" s="22"/>
      <c r="U267" s="25"/>
      <c r="V267" s="22"/>
      <c r="W267" s="25"/>
    </row>
    <row r="268" spans="1:23" x14ac:dyDescent="0.2">
      <c r="A268" s="6"/>
      <c r="B268" s="19"/>
      <c r="C268" s="16"/>
      <c r="D268" s="19"/>
      <c r="E268" s="16"/>
      <c r="F268" s="19"/>
      <c r="G268" s="16"/>
      <c r="H268" s="22"/>
      <c r="I268" s="25"/>
      <c r="J268" s="22"/>
      <c r="K268" s="25"/>
      <c r="L268" s="22"/>
      <c r="M268" s="25"/>
      <c r="N268" s="19"/>
      <c r="O268" s="19"/>
      <c r="P268" s="16"/>
      <c r="Q268" s="19"/>
      <c r="R268" s="16"/>
      <c r="S268" s="25"/>
      <c r="T268" s="22"/>
      <c r="U268" s="25"/>
      <c r="V268" s="22"/>
      <c r="W268" s="25"/>
    </row>
    <row r="269" spans="1:23" x14ac:dyDescent="0.2">
      <c r="A269" s="6"/>
      <c r="B269" s="19"/>
      <c r="C269" s="16"/>
      <c r="D269" s="19"/>
      <c r="E269" s="16"/>
      <c r="F269" s="19"/>
      <c r="G269" s="16"/>
      <c r="H269" s="22"/>
      <c r="I269" s="25"/>
      <c r="J269" s="22"/>
      <c r="K269" s="25"/>
      <c r="L269" s="22"/>
      <c r="M269" s="25"/>
      <c r="N269" s="19"/>
      <c r="O269" s="19"/>
      <c r="P269" s="16"/>
      <c r="Q269" s="19"/>
      <c r="R269" s="16"/>
      <c r="S269" s="25"/>
      <c r="T269" s="22"/>
      <c r="U269" s="25"/>
      <c r="V269" s="22"/>
      <c r="W269" s="25"/>
    </row>
    <row r="270" spans="1:23" x14ac:dyDescent="0.2">
      <c r="A270" s="6"/>
      <c r="B270" s="19"/>
      <c r="C270" s="16"/>
      <c r="D270" s="19"/>
      <c r="E270" s="16"/>
      <c r="F270" s="19"/>
      <c r="G270" s="16"/>
      <c r="H270" s="22"/>
      <c r="I270" s="25"/>
      <c r="J270" s="22"/>
      <c r="K270" s="25"/>
      <c r="L270" s="22"/>
      <c r="M270" s="25"/>
      <c r="N270" s="19"/>
      <c r="O270" s="19"/>
      <c r="P270" s="16"/>
      <c r="Q270" s="19"/>
      <c r="R270" s="16"/>
      <c r="S270" s="25"/>
      <c r="T270" s="22"/>
      <c r="U270" s="25"/>
      <c r="V270" s="22"/>
      <c r="W270" s="25"/>
    </row>
    <row r="271" spans="1:23" x14ac:dyDescent="0.2">
      <c r="A271" s="6"/>
      <c r="B271" s="19"/>
      <c r="C271" s="16"/>
      <c r="D271" s="19"/>
      <c r="E271" s="16"/>
      <c r="F271" s="19"/>
      <c r="G271" s="16"/>
      <c r="H271" s="22"/>
      <c r="I271" s="25"/>
      <c r="J271" s="22"/>
      <c r="K271" s="25"/>
      <c r="L271" s="22"/>
      <c r="M271" s="25"/>
      <c r="N271" s="19"/>
      <c r="O271" s="19"/>
      <c r="P271" s="16"/>
      <c r="Q271" s="19"/>
      <c r="R271" s="16"/>
      <c r="S271" s="25"/>
      <c r="T271" s="22"/>
      <c r="U271" s="25"/>
      <c r="V271" s="22"/>
      <c r="W271" s="25"/>
    </row>
    <row r="272" spans="1:23" x14ac:dyDescent="0.2">
      <c r="A272" s="6"/>
      <c r="B272" s="19"/>
      <c r="C272" s="16"/>
      <c r="D272" s="19"/>
      <c r="E272" s="16"/>
      <c r="F272" s="19"/>
      <c r="G272" s="16"/>
      <c r="H272" s="22"/>
      <c r="I272" s="25"/>
      <c r="J272" s="22"/>
      <c r="K272" s="25"/>
      <c r="L272" s="22"/>
      <c r="M272" s="25"/>
      <c r="N272" s="19"/>
      <c r="O272" s="19"/>
      <c r="P272" s="16"/>
      <c r="Q272" s="19"/>
      <c r="R272" s="16"/>
      <c r="S272" s="25"/>
      <c r="T272" s="22"/>
      <c r="U272" s="25"/>
      <c r="V272" s="22"/>
      <c r="W272" s="25"/>
    </row>
    <row r="273" spans="1:23" x14ac:dyDescent="0.2">
      <c r="A273" s="6"/>
      <c r="B273" s="19"/>
      <c r="C273" s="16"/>
      <c r="D273" s="19"/>
      <c r="E273" s="16"/>
      <c r="F273" s="19"/>
      <c r="G273" s="16"/>
      <c r="H273" s="22"/>
      <c r="I273" s="25"/>
      <c r="J273" s="22"/>
      <c r="K273" s="25"/>
      <c r="L273" s="22"/>
      <c r="M273" s="25"/>
      <c r="N273" s="19"/>
      <c r="O273" s="19"/>
      <c r="P273" s="16"/>
      <c r="Q273" s="19"/>
      <c r="R273" s="16"/>
      <c r="S273" s="25"/>
      <c r="T273" s="22"/>
      <c r="U273" s="25"/>
      <c r="V273" s="22"/>
      <c r="W273" s="25"/>
    </row>
    <row r="274" spans="1:23" x14ac:dyDescent="0.2">
      <c r="A274" s="6"/>
      <c r="B274" s="19"/>
      <c r="C274" s="16"/>
      <c r="D274" s="19"/>
      <c r="E274" s="16"/>
      <c r="F274" s="19"/>
      <c r="G274" s="16"/>
      <c r="H274" s="22"/>
      <c r="I274" s="25"/>
      <c r="J274" s="22"/>
      <c r="K274" s="25"/>
      <c r="L274" s="22"/>
      <c r="M274" s="25"/>
      <c r="N274" s="19"/>
      <c r="O274" s="19"/>
      <c r="P274" s="16"/>
      <c r="Q274" s="19"/>
      <c r="R274" s="16"/>
      <c r="S274" s="25"/>
      <c r="T274" s="22"/>
      <c r="U274" s="25"/>
      <c r="V274" s="22"/>
      <c r="W274" s="25"/>
    </row>
    <row r="275" spans="1:23" x14ac:dyDescent="0.2">
      <c r="A275" s="6"/>
      <c r="B275" s="19"/>
      <c r="C275" s="16"/>
      <c r="D275" s="19"/>
      <c r="E275" s="16"/>
      <c r="F275" s="19"/>
      <c r="G275" s="16"/>
      <c r="H275" s="22"/>
      <c r="I275" s="25"/>
      <c r="J275" s="22"/>
      <c r="K275" s="25"/>
      <c r="L275" s="22"/>
      <c r="M275" s="25"/>
      <c r="N275" s="19"/>
      <c r="O275" s="19"/>
      <c r="P275" s="16"/>
      <c r="Q275" s="19"/>
      <c r="R275" s="16"/>
      <c r="S275" s="25"/>
      <c r="T275" s="22"/>
      <c r="U275" s="25"/>
      <c r="V275" s="22"/>
      <c r="W275" s="25"/>
    </row>
    <row r="276" spans="1:23" x14ac:dyDescent="0.2">
      <c r="A276" s="6"/>
      <c r="B276" s="19"/>
      <c r="C276" s="16"/>
      <c r="D276" s="19"/>
      <c r="E276" s="16"/>
      <c r="F276" s="19"/>
      <c r="G276" s="16"/>
      <c r="H276" s="22"/>
      <c r="I276" s="25"/>
      <c r="J276" s="22"/>
      <c r="K276" s="25"/>
      <c r="L276" s="22"/>
      <c r="M276" s="25"/>
      <c r="N276" s="19"/>
      <c r="O276" s="19"/>
      <c r="P276" s="16"/>
      <c r="Q276" s="19"/>
      <c r="R276" s="16"/>
      <c r="S276" s="25"/>
      <c r="T276" s="22"/>
      <c r="U276" s="25"/>
      <c r="V276" s="22"/>
      <c r="W276" s="25"/>
    </row>
    <row r="277" spans="1:23" x14ac:dyDescent="0.2">
      <c r="A277" s="6"/>
      <c r="B277" s="19"/>
      <c r="C277" s="16"/>
      <c r="D277" s="19"/>
      <c r="E277" s="16"/>
      <c r="F277" s="19"/>
      <c r="G277" s="16"/>
      <c r="H277" s="22"/>
      <c r="I277" s="25"/>
      <c r="J277" s="22"/>
      <c r="K277" s="25"/>
      <c r="L277" s="22"/>
      <c r="M277" s="25"/>
      <c r="N277" s="19"/>
      <c r="O277" s="19"/>
      <c r="P277" s="16"/>
      <c r="Q277" s="19"/>
      <c r="R277" s="16"/>
      <c r="S277" s="25"/>
      <c r="T277" s="22"/>
      <c r="U277" s="25"/>
      <c r="V277" s="22"/>
      <c r="W277" s="25"/>
    </row>
    <row r="278" spans="1:23" x14ac:dyDescent="0.2">
      <c r="A278" s="6"/>
      <c r="B278" s="19"/>
      <c r="C278" s="16"/>
      <c r="D278" s="19"/>
      <c r="E278" s="16"/>
      <c r="F278" s="19"/>
      <c r="G278" s="16"/>
      <c r="H278" s="22"/>
      <c r="I278" s="25"/>
      <c r="J278" s="22"/>
      <c r="K278" s="25"/>
      <c r="L278" s="22"/>
      <c r="M278" s="25"/>
      <c r="N278" s="19"/>
      <c r="O278" s="19"/>
      <c r="P278" s="16"/>
      <c r="Q278" s="19"/>
      <c r="R278" s="16"/>
      <c r="S278" s="25"/>
      <c r="T278" s="22"/>
      <c r="U278" s="25"/>
      <c r="V278" s="22"/>
      <c r="W278" s="25"/>
    </row>
    <row r="279" spans="1:23" x14ac:dyDescent="0.2">
      <c r="A279" s="6"/>
      <c r="B279" s="19"/>
      <c r="C279" s="16"/>
      <c r="D279" s="19"/>
      <c r="E279" s="16"/>
      <c r="F279" s="19"/>
      <c r="G279" s="16"/>
      <c r="H279" s="22"/>
      <c r="I279" s="25"/>
      <c r="J279" s="22"/>
      <c r="K279" s="25"/>
      <c r="L279" s="22"/>
      <c r="M279" s="25"/>
      <c r="N279" s="19"/>
      <c r="O279" s="19"/>
      <c r="P279" s="16"/>
      <c r="Q279" s="19"/>
      <c r="R279" s="16"/>
      <c r="S279" s="25"/>
      <c r="T279" s="22"/>
      <c r="U279" s="25"/>
      <c r="V279" s="22"/>
      <c r="W279" s="25"/>
    </row>
    <row r="280" spans="1:23" x14ac:dyDescent="0.2">
      <c r="A280" s="6"/>
      <c r="B280" s="19"/>
      <c r="C280" s="16"/>
      <c r="D280" s="19"/>
      <c r="E280" s="16"/>
      <c r="F280" s="19"/>
      <c r="G280" s="16"/>
      <c r="H280" s="22"/>
      <c r="I280" s="25"/>
      <c r="J280" s="22"/>
      <c r="K280" s="25"/>
      <c r="L280" s="22"/>
      <c r="M280" s="25"/>
      <c r="N280" s="19"/>
      <c r="O280" s="19"/>
      <c r="P280" s="16"/>
      <c r="Q280" s="19"/>
      <c r="R280" s="16"/>
      <c r="S280" s="25"/>
      <c r="T280" s="22"/>
      <c r="U280" s="25"/>
      <c r="V280" s="22"/>
      <c r="W280" s="25"/>
    </row>
    <row r="281" spans="1:23" x14ac:dyDescent="0.2">
      <c r="A281" s="6"/>
      <c r="B281" s="19"/>
      <c r="C281" s="16"/>
      <c r="D281" s="19"/>
      <c r="E281" s="16"/>
      <c r="F281" s="19"/>
      <c r="G281" s="16"/>
      <c r="H281" s="22"/>
      <c r="I281" s="25"/>
      <c r="J281" s="22"/>
      <c r="K281" s="25"/>
      <c r="L281" s="22"/>
      <c r="M281" s="25"/>
      <c r="N281" s="19"/>
      <c r="O281" s="19"/>
      <c r="P281" s="16"/>
      <c r="Q281" s="19"/>
      <c r="R281" s="16"/>
      <c r="S281" s="25"/>
      <c r="T281" s="22"/>
      <c r="U281" s="25"/>
      <c r="V281" s="22"/>
      <c r="W281" s="25"/>
    </row>
    <row r="282" spans="1:23" x14ac:dyDescent="0.2">
      <c r="A282" s="6"/>
      <c r="B282" s="19"/>
      <c r="C282" s="16"/>
      <c r="D282" s="19"/>
      <c r="E282" s="16"/>
      <c r="F282" s="19"/>
      <c r="G282" s="16"/>
      <c r="H282" s="22"/>
      <c r="I282" s="25"/>
      <c r="J282" s="22"/>
      <c r="K282" s="25"/>
      <c r="L282" s="22"/>
      <c r="M282" s="25"/>
      <c r="N282" s="19"/>
      <c r="O282" s="19"/>
      <c r="P282" s="16"/>
      <c r="Q282" s="19"/>
      <c r="R282" s="16"/>
      <c r="S282" s="25"/>
      <c r="T282" s="22"/>
      <c r="U282" s="25"/>
      <c r="V282" s="22"/>
      <c r="W282" s="25"/>
    </row>
    <row r="283" spans="1:23" x14ac:dyDescent="0.2">
      <c r="A283" s="6"/>
      <c r="B283" s="19"/>
      <c r="C283" s="16"/>
      <c r="D283" s="19"/>
      <c r="E283" s="16"/>
      <c r="F283" s="19"/>
      <c r="G283" s="16"/>
      <c r="H283" s="22"/>
      <c r="I283" s="25"/>
      <c r="J283" s="22"/>
      <c r="K283" s="25"/>
      <c r="L283" s="22"/>
      <c r="M283" s="25"/>
      <c r="N283" s="19"/>
      <c r="O283" s="19"/>
      <c r="P283" s="16"/>
      <c r="Q283" s="19"/>
      <c r="R283" s="16"/>
      <c r="S283" s="25"/>
      <c r="T283" s="22"/>
      <c r="U283" s="25"/>
      <c r="V283" s="22"/>
      <c r="W283" s="25"/>
    </row>
    <row r="284" spans="1:23" x14ac:dyDescent="0.2">
      <c r="A284" s="6"/>
      <c r="B284" s="19"/>
      <c r="C284" s="16"/>
      <c r="D284" s="19"/>
      <c r="E284" s="16"/>
      <c r="F284" s="19"/>
      <c r="G284" s="16"/>
      <c r="H284" s="22"/>
      <c r="I284" s="25"/>
      <c r="J284" s="22"/>
      <c r="K284" s="25"/>
      <c r="L284" s="22"/>
      <c r="M284" s="25"/>
      <c r="N284" s="19"/>
      <c r="O284" s="19"/>
      <c r="P284" s="16"/>
      <c r="Q284" s="19"/>
      <c r="R284" s="16"/>
      <c r="S284" s="25"/>
      <c r="T284" s="22"/>
      <c r="U284" s="25"/>
      <c r="V284" s="22"/>
      <c r="W284" s="25"/>
    </row>
    <row r="285" spans="1:23" x14ac:dyDescent="0.2">
      <c r="A285" s="6"/>
      <c r="B285" s="19"/>
      <c r="C285" s="16"/>
      <c r="D285" s="19"/>
      <c r="E285" s="16"/>
      <c r="F285" s="19"/>
      <c r="G285" s="16"/>
      <c r="H285" s="22"/>
      <c r="I285" s="25"/>
      <c r="J285" s="22"/>
      <c r="K285" s="25"/>
      <c r="L285" s="22"/>
      <c r="M285" s="25"/>
      <c r="N285" s="19"/>
      <c r="O285" s="19"/>
      <c r="P285" s="16"/>
      <c r="Q285" s="19"/>
      <c r="R285" s="16"/>
      <c r="S285" s="25"/>
      <c r="T285" s="22"/>
      <c r="U285" s="25"/>
      <c r="V285" s="22"/>
      <c r="W285" s="25"/>
    </row>
    <row r="286" spans="1:23" x14ac:dyDescent="0.2">
      <c r="A286" s="6"/>
      <c r="B286" s="19"/>
      <c r="C286" s="16"/>
      <c r="D286" s="19"/>
      <c r="E286" s="16"/>
      <c r="F286" s="19"/>
      <c r="G286" s="16"/>
      <c r="H286" s="22"/>
      <c r="I286" s="25"/>
      <c r="J286" s="22"/>
      <c r="K286" s="25"/>
      <c r="L286" s="22"/>
      <c r="M286" s="25"/>
      <c r="N286" s="19"/>
      <c r="O286" s="19"/>
      <c r="P286" s="16"/>
      <c r="Q286" s="19"/>
      <c r="R286" s="16"/>
      <c r="S286" s="25"/>
      <c r="T286" s="22"/>
      <c r="U286" s="25"/>
      <c r="V286" s="22"/>
      <c r="W286" s="25"/>
    </row>
    <row r="287" spans="1:23" x14ac:dyDescent="0.2">
      <c r="A287" s="6"/>
      <c r="B287" s="19"/>
      <c r="C287" s="16"/>
      <c r="D287" s="19"/>
      <c r="E287" s="16"/>
      <c r="F287" s="19"/>
      <c r="G287" s="16"/>
      <c r="H287" s="22"/>
      <c r="I287" s="25"/>
      <c r="J287" s="22"/>
      <c r="K287" s="25"/>
      <c r="L287" s="22"/>
      <c r="M287" s="25"/>
      <c r="N287" s="19"/>
      <c r="O287" s="19"/>
      <c r="P287" s="16"/>
      <c r="Q287" s="19"/>
      <c r="R287" s="16"/>
      <c r="S287" s="25"/>
      <c r="T287" s="22"/>
      <c r="U287" s="25"/>
      <c r="V287" s="22"/>
      <c r="W287" s="25"/>
    </row>
    <row r="288" spans="1:23" x14ac:dyDescent="0.2">
      <c r="A288" s="6"/>
      <c r="B288" s="19"/>
      <c r="C288" s="16"/>
      <c r="D288" s="19"/>
      <c r="E288" s="16"/>
      <c r="F288" s="19"/>
      <c r="G288" s="16"/>
      <c r="H288" s="22"/>
      <c r="I288" s="25"/>
      <c r="J288" s="22"/>
      <c r="K288" s="25"/>
      <c r="L288" s="22"/>
      <c r="M288" s="25"/>
      <c r="N288" s="19"/>
      <c r="O288" s="19"/>
      <c r="P288" s="16"/>
      <c r="Q288" s="19"/>
      <c r="R288" s="16"/>
      <c r="S288" s="25"/>
      <c r="T288" s="22"/>
      <c r="U288" s="25"/>
      <c r="V288" s="22"/>
      <c r="W288" s="25"/>
    </row>
    <row r="289" spans="1:23" x14ac:dyDescent="0.2">
      <c r="A289" s="6"/>
      <c r="B289" s="19"/>
      <c r="C289" s="16"/>
      <c r="D289" s="19"/>
      <c r="E289" s="16"/>
      <c r="F289" s="19"/>
      <c r="G289" s="16"/>
      <c r="H289" s="22"/>
      <c r="I289" s="25"/>
      <c r="J289" s="22"/>
      <c r="K289" s="25"/>
      <c r="L289" s="22"/>
      <c r="M289" s="25"/>
      <c r="N289" s="19"/>
      <c r="O289" s="19"/>
      <c r="P289" s="16"/>
      <c r="Q289" s="19"/>
      <c r="R289" s="16"/>
      <c r="S289" s="25"/>
      <c r="T289" s="22"/>
      <c r="U289" s="25"/>
      <c r="V289" s="22"/>
      <c r="W289" s="25"/>
    </row>
    <row r="290" spans="1:23" x14ac:dyDescent="0.2">
      <c r="A290" s="6"/>
      <c r="B290" s="19"/>
      <c r="C290" s="16"/>
      <c r="D290" s="19"/>
      <c r="E290" s="16"/>
      <c r="F290" s="19"/>
      <c r="G290" s="16"/>
      <c r="H290" s="22"/>
      <c r="I290" s="25"/>
      <c r="J290" s="22"/>
      <c r="K290" s="25"/>
      <c r="L290" s="22"/>
      <c r="M290" s="25"/>
      <c r="N290" s="19"/>
      <c r="O290" s="19"/>
      <c r="P290" s="16"/>
      <c r="Q290" s="19"/>
      <c r="R290" s="16"/>
      <c r="S290" s="25"/>
      <c r="T290" s="22"/>
      <c r="U290" s="25"/>
      <c r="V290" s="22"/>
      <c r="W290" s="25"/>
    </row>
    <row r="291" spans="1:23" x14ac:dyDescent="0.2">
      <c r="A291" s="6"/>
      <c r="B291" s="19"/>
      <c r="C291" s="16"/>
      <c r="D291" s="19"/>
      <c r="E291" s="16"/>
      <c r="F291" s="19"/>
      <c r="G291" s="16"/>
      <c r="H291" s="22"/>
      <c r="I291" s="25"/>
      <c r="J291" s="22"/>
      <c r="K291" s="25"/>
      <c r="L291" s="22"/>
      <c r="M291" s="25"/>
      <c r="N291" s="19"/>
      <c r="O291" s="19"/>
      <c r="P291" s="16"/>
      <c r="Q291" s="19"/>
      <c r="R291" s="16"/>
      <c r="S291" s="25"/>
      <c r="T291" s="22"/>
      <c r="U291" s="25"/>
      <c r="V291" s="22"/>
      <c r="W291" s="25"/>
    </row>
    <row r="292" spans="1:23" x14ac:dyDescent="0.2">
      <c r="A292" s="6"/>
      <c r="B292" s="19"/>
      <c r="C292" s="16"/>
      <c r="D292" s="19"/>
      <c r="E292" s="16"/>
      <c r="F292" s="19"/>
      <c r="G292" s="16"/>
      <c r="H292" s="22"/>
      <c r="I292" s="25"/>
      <c r="J292" s="22"/>
      <c r="K292" s="25"/>
      <c r="L292" s="22"/>
      <c r="M292" s="25"/>
      <c r="N292" s="19"/>
      <c r="O292" s="19"/>
      <c r="P292" s="16"/>
      <c r="Q292" s="19"/>
      <c r="R292" s="16"/>
      <c r="S292" s="25"/>
      <c r="T292" s="22"/>
      <c r="U292" s="25"/>
      <c r="V292" s="22"/>
      <c r="W292" s="25"/>
    </row>
    <row r="293" spans="1:23" x14ac:dyDescent="0.2">
      <c r="A293" s="6"/>
      <c r="B293" s="19"/>
      <c r="C293" s="16"/>
      <c r="D293" s="19"/>
      <c r="E293" s="16"/>
      <c r="F293" s="19"/>
      <c r="G293" s="16"/>
      <c r="H293" s="22"/>
      <c r="I293" s="25"/>
      <c r="J293" s="22"/>
      <c r="K293" s="25"/>
      <c r="L293" s="22"/>
      <c r="M293" s="25"/>
      <c r="N293" s="19"/>
      <c r="O293" s="19"/>
      <c r="P293" s="16"/>
      <c r="Q293" s="19"/>
      <c r="R293" s="16"/>
      <c r="S293" s="25"/>
      <c r="T293" s="22"/>
      <c r="U293" s="25"/>
      <c r="V293" s="22"/>
      <c r="W293" s="25"/>
    </row>
    <row r="294" spans="1:23" x14ac:dyDescent="0.2">
      <c r="A294" s="6"/>
      <c r="B294" s="19"/>
      <c r="C294" s="16"/>
      <c r="D294" s="19"/>
      <c r="E294" s="16"/>
      <c r="F294" s="19"/>
      <c r="G294" s="16"/>
      <c r="H294" s="22"/>
      <c r="I294" s="25"/>
      <c r="J294" s="22"/>
      <c r="K294" s="25"/>
      <c r="L294" s="22"/>
      <c r="M294" s="25"/>
      <c r="N294" s="19"/>
      <c r="O294" s="19"/>
      <c r="P294" s="16"/>
      <c r="Q294" s="19"/>
      <c r="R294" s="16"/>
      <c r="S294" s="25"/>
      <c r="T294" s="22"/>
      <c r="U294" s="25"/>
      <c r="V294" s="22"/>
      <c r="W294" s="25"/>
    </row>
    <row r="295" spans="1:23" x14ac:dyDescent="0.2">
      <c r="A295" s="6"/>
      <c r="B295" s="19"/>
      <c r="C295" s="16"/>
      <c r="D295" s="19"/>
      <c r="E295" s="16"/>
      <c r="F295" s="19"/>
      <c r="G295" s="16"/>
      <c r="H295" s="22"/>
      <c r="I295" s="25"/>
      <c r="J295" s="22"/>
      <c r="K295" s="25"/>
      <c r="L295" s="22"/>
      <c r="M295" s="25"/>
      <c r="N295" s="19"/>
      <c r="O295" s="19"/>
      <c r="P295" s="16"/>
      <c r="Q295" s="19"/>
      <c r="R295" s="16"/>
      <c r="S295" s="25"/>
      <c r="T295" s="22"/>
      <c r="U295" s="25"/>
      <c r="V295" s="22"/>
      <c r="W295" s="25"/>
    </row>
    <row r="296" spans="1:23" x14ac:dyDescent="0.2">
      <c r="A296" s="6"/>
      <c r="B296" s="19"/>
      <c r="C296" s="16"/>
      <c r="D296" s="19"/>
      <c r="E296" s="16"/>
      <c r="F296" s="19"/>
      <c r="G296" s="16"/>
      <c r="H296" s="22"/>
      <c r="I296" s="25"/>
      <c r="J296" s="22"/>
      <c r="K296" s="25"/>
      <c r="L296" s="22"/>
      <c r="M296" s="25"/>
      <c r="N296" s="19"/>
      <c r="O296" s="19"/>
      <c r="P296" s="16"/>
      <c r="Q296" s="19"/>
      <c r="R296" s="16"/>
      <c r="S296" s="25"/>
      <c r="T296" s="22"/>
      <c r="U296" s="25"/>
      <c r="V296" s="22"/>
      <c r="W296" s="25"/>
    </row>
    <row r="297" spans="1:23" x14ac:dyDescent="0.2">
      <c r="A297" s="6"/>
      <c r="B297" s="19"/>
      <c r="C297" s="16"/>
      <c r="D297" s="19"/>
      <c r="E297" s="16"/>
      <c r="F297" s="19"/>
      <c r="G297" s="16"/>
      <c r="H297" s="22"/>
      <c r="I297" s="25"/>
      <c r="J297" s="22"/>
      <c r="K297" s="25"/>
      <c r="L297" s="22"/>
      <c r="M297" s="25"/>
      <c r="N297" s="19"/>
      <c r="O297" s="19"/>
      <c r="P297" s="16"/>
      <c r="Q297" s="19"/>
      <c r="R297" s="16"/>
      <c r="S297" s="25"/>
      <c r="T297" s="22"/>
      <c r="U297" s="25"/>
      <c r="V297" s="22"/>
      <c r="W297" s="25"/>
    </row>
    <row r="298" spans="1:23" x14ac:dyDescent="0.2">
      <c r="A298" s="6"/>
      <c r="B298" s="19"/>
      <c r="C298" s="16"/>
      <c r="D298" s="19"/>
      <c r="E298" s="16"/>
      <c r="F298" s="19"/>
      <c r="G298" s="16"/>
      <c r="H298" s="22"/>
      <c r="I298" s="25"/>
      <c r="J298" s="22"/>
      <c r="K298" s="25"/>
      <c r="L298" s="22"/>
      <c r="M298" s="25"/>
      <c r="N298" s="19"/>
      <c r="O298" s="19"/>
      <c r="P298" s="16"/>
      <c r="Q298" s="19"/>
      <c r="R298" s="16"/>
      <c r="S298" s="25"/>
      <c r="T298" s="22"/>
      <c r="U298" s="25"/>
      <c r="V298" s="22"/>
      <c r="W298" s="25"/>
    </row>
    <row r="299" spans="1:23" x14ac:dyDescent="0.2">
      <c r="A299" s="6"/>
      <c r="B299" s="19"/>
      <c r="C299" s="16"/>
      <c r="D299" s="19"/>
      <c r="E299" s="16"/>
      <c r="F299" s="19"/>
      <c r="G299" s="16"/>
      <c r="H299" s="22"/>
      <c r="I299" s="25"/>
      <c r="J299" s="22"/>
      <c r="K299" s="25"/>
      <c r="L299" s="22"/>
      <c r="M299" s="25"/>
      <c r="N299" s="19"/>
      <c r="O299" s="19"/>
      <c r="P299" s="16"/>
      <c r="Q299" s="19"/>
      <c r="R299" s="16"/>
      <c r="S299" s="25"/>
      <c r="T299" s="22"/>
      <c r="U299" s="25"/>
      <c r="V299" s="22"/>
      <c r="W299" s="25"/>
    </row>
    <row r="300" spans="1:23" x14ac:dyDescent="0.2">
      <c r="A300" s="6"/>
      <c r="B300" s="19"/>
      <c r="C300" s="16"/>
      <c r="D300" s="19"/>
      <c r="E300" s="16"/>
      <c r="F300" s="19"/>
      <c r="G300" s="16"/>
      <c r="H300" s="22"/>
      <c r="I300" s="25"/>
      <c r="J300" s="22"/>
      <c r="K300" s="25"/>
      <c r="L300" s="22"/>
      <c r="M300" s="25"/>
      <c r="N300" s="19"/>
      <c r="O300" s="19"/>
      <c r="P300" s="16"/>
      <c r="Q300" s="19"/>
      <c r="R300" s="16"/>
      <c r="S300" s="25"/>
      <c r="T300" s="22"/>
      <c r="U300" s="25"/>
      <c r="V300" s="22"/>
      <c r="W300" s="25"/>
    </row>
    <row r="301" spans="1:23" x14ac:dyDescent="0.2">
      <c r="A301" s="6"/>
      <c r="B301" s="19"/>
      <c r="C301" s="16"/>
      <c r="D301" s="19"/>
      <c r="E301" s="16"/>
      <c r="F301" s="19"/>
      <c r="G301" s="16"/>
      <c r="H301" s="22"/>
      <c r="I301" s="25"/>
      <c r="J301" s="22"/>
      <c r="K301" s="25"/>
      <c r="L301" s="22"/>
      <c r="M301" s="25"/>
      <c r="N301" s="19"/>
      <c r="O301" s="19"/>
      <c r="P301" s="16"/>
      <c r="Q301" s="19"/>
      <c r="R301" s="16"/>
      <c r="S301" s="25"/>
      <c r="T301" s="22"/>
      <c r="U301" s="25"/>
      <c r="V301" s="22"/>
      <c r="W301" s="25"/>
    </row>
    <row r="302" spans="1:23" x14ac:dyDescent="0.2">
      <c r="A302" s="6"/>
      <c r="B302" s="19"/>
      <c r="C302" s="16"/>
      <c r="D302" s="19"/>
      <c r="E302" s="16"/>
      <c r="F302" s="19"/>
      <c r="G302" s="16"/>
      <c r="H302" s="22"/>
      <c r="I302" s="25"/>
      <c r="J302" s="22"/>
      <c r="K302" s="25"/>
      <c r="L302" s="22"/>
      <c r="M302" s="25"/>
      <c r="N302" s="19"/>
      <c r="O302" s="19"/>
      <c r="P302" s="16"/>
      <c r="Q302" s="19"/>
      <c r="R302" s="16"/>
      <c r="S302" s="25"/>
      <c r="T302" s="22"/>
      <c r="U302" s="25"/>
      <c r="V302" s="22"/>
      <c r="W302" s="25"/>
    </row>
    <row r="303" spans="1:23" x14ac:dyDescent="0.2">
      <c r="A303" s="6"/>
      <c r="B303" s="19"/>
      <c r="C303" s="16"/>
      <c r="D303" s="19"/>
      <c r="E303" s="16"/>
      <c r="F303" s="19"/>
      <c r="G303" s="16"/>
      <c r="H303" s="22"/>
      <c r="I303" s="25"/>
      <c r="J303" s="22"/>
      <c r="K303" s="25"/>
      <c r="L303" s="22"/>
      <c r="M303" s="25"/>
      <c r="N303" s="19"/>
      <c r="O303" s="19"/>
      <c r="P303" s="16"/>
      <c r="Q303" s="19"/>
      <c r="R303" s="16"/>
      <c r="S303" s="25"/>
      <c r="T303" s="22"/>
      <c r="U303" s="25"/>
      <c r="V303" s="22"/>
      <c r="W303" s="25"/>
    </row>
    <row r="304" spans="1:23" x14ac:dyDescent="0.2">
      <c r="A304" s="6"/>
      <c r="B304" s="19"/>
      <c r="C304" s="16"/>
      <c r="D304" s="19"/>
      <c r="E304" s="16"/>
      <c r="F304" s="19"/>
      <c r="G304" s="16"/>
      <c r="H304" s="22"/>
      <c r="I304" s="25"/>
      <c r="J304" s="22"/>
      <c r="K304" s="25"/>
      <c r="L304" s="22"/>
      <c r="M304" s="25"/>
      <c r="N304" s="19"/>
      <c r="O304" s="19"/>
      <c r="P304" s="16"/>
      <c r="Q304" s="19"/>
      <c r="R304" s="16"/>
      <c r="S304" s="25"/>
      <c r="T304" s="22"/>
      <c r="U304" s="25"/>
      <c r="V304" s="22"/>
      <c r="W304" s="25"/>
    </row>
    <row r="305" spans="1:23" x14ac:dyDescent="0.2">
      <c r="A305" s="6"/>
      <c r="B305" s="19"/>
      <c r="C305" s="16"/>
      <c r="D305" s="19"/>
      <c r="E305" s="16"/>
      <c r="F305" s="19"/>
      <c r="G305" s="16"/>
      <c r="H305" s="22"/>
      <c r="I305" s="25"/>
      <c r="J305" s="22"/>
      <c r="K305" s="25"/>
      <c r="L305" s="22"/>
      <c r="M305" s="25"/>
      <c r="N305" s="19"/>
      <c r="O305" s="19"/>
      <c r="P305" s="16"/>
      <c r="Q305" s="19"/>
      <c r="R305" s="16"/>
      <c r="S305" s="25"/>
      <c r="T305" s="22"/>
      <c r="U305" s="25"/>
      <c r="V305" s="22"/>
      <c r="W305" s="25"/>
    </row>
    <row r="306" spans="1:23" x14ac:dyDescent="0.2">
      <c r="A306" s="6"/>
      <c r="B306" s="19"/>
      <c r="C306" s="16"/>
      <c r="D306" s="19"/>
      <c r="E306" s="16"/>
      <c r="F306" s="19"/>
      <c r="G306" s="16"/>
      <c r="H306" s="22"/>
      <c r="I306" s="25"/>
      <c r="J306" s="22"/>
      <c r="K306" s="25"/>
      <c r="L306" s="22"/>
      <c r="M306" s="25"/>
      <c r="N306" s="19"/>
      <c r="O306" s="19"/>
      <c r="P306" s="16"/>
      <c r="Q306" s="19"/>
      <c r="R306" s="16"/>
      <c r="S306" s="25"/>
      <c r="T306" s="22"/>
      <c r="U306" s="25"/>
      <c r="V306" s="22"/>
      <c r="W306" s="25"/>
    </row>
    <row r="307" spans="1:23" x14ac:dyDescent="0.2">
      <c r="A307" s="6"/>
      <c r="B307" s="19"/>
      <c r="C307" s="16"/>
      <c r="D307" s="19"/>
      <c r="E307" s="16"/>
      <c r="F307" s="19"/>
      <c r="G307" s="16"/>
      <c r="H307" s="22"/>
      <c r="I307" s="25"/>
      <c r="J307" s="22"/>
      <c r="K307" s="25"/>
      <c r="L307" s="22"/>
      <c r="M307" s="25"/>
      <c r="N307" s="19"/>
      <c r="O307" s="19"/>
      <c r="P307" s="16"/>
      <c r="Q307" s="19"/>
      <c r="R307" s="16"/>
      <c r="S307" s="25"/>
      <c r="T307" s="22"/>
      <c r="U307" s="25"/>
      <c r="V307" s="22"/>
      <c r="W307" s="25"/>
    </row>
    <row r="308" spans="1:23" x14ac:dyDescent="0.2">
      <c r="A308" s="6"/>
      <c r="B308" s="19"/>
      <c r="C308" s="16"/>
      <c r="D308" s="19"/>
      <c r="E308" s="16"/>
      <c r="F308" s="19"/>
      <c r="G308" s="16"/>
      <c r="H308" s="22"/>
      <c r="I308" s="25"/>
      <c r="J308" s="22"/>
      <c r="K308" s="25"/>
      <c r="L308" s="22"/>
      <c r="M308" s="25"/>
      <c r="N308" s="19"/>
      <c r="O308" s="19"/>
      <c r="P308" s="16"/>
      <c r="Q308" s="19"/>
      <c r="R308" s="16"/>
      <c r="S308" s="25"/>
      <c r="T308" s="22"/>
      <c r="U308" s="25"/>
      <c r="V308" s="22"/>
      <c r="W308" s="25"/>
    </row>
    <row r="309" spans="1:23" x14ac:dyDescent="0.2">
      <c r="A309" s="6"/>
      <c r="B309" s="19"/>
      <c r="C309" s="16"/>
      <c r="D309" s="19"/>
      <c r="E309" s="16"/>
      <c r="F309" s="19"/>
      <c r="G309" s="16"/>
      <c r="H309" s="22"/>
      <c r="I309" s="25"/>
      <c r="J309" s="22"/>
      <c r="K309" s="25"/>
      <c r="L309" s="22"/>
      <c r="M309" s="25"/>
      <c r="N309" s="19"/>
      <c r="O309" s="19"/>
      <c r="P309" s="16"/>
      <c r="Q309" s="19"/>
      <c r="R309" s="16"/>
      <c r="S309" s="25"/>
      <c r="T309" s="22"/>
      <c r="U309" s="25"/>
      <c r="V309" s="22"/>
      <c r="W309" s="25"/>
    </row>
    <row r="310" spans="1:23" x14ac:dyDescent="0.2">
      <c r="A310" s="6"/>
      <c r="B310" s="19"/>
      <c r="C310" s="16"/>
      <c r="D310" s="19"/>
      <c r="E310" s="16"/>
      <c r="F310" s="19"/>
      <c r="G310" s="16"/>
      <c r="H310" s="22"/>
      <c r="I310" s="25"/>
      <c r="J310" s="22"/>
      <c r="K310" s="25"/>
      <c r="L310" s="22"/>
      <c r="M310" s="25"/>
      <c r="N310" s="19"/>
      <c r="O310" s="19"/>
      <c r="P310" s="16"/>
      <c r="Q310" s="19"/>
      <c r="R310" s="16"/>
      <c r="S310" s="25"/>
      <c r="T310" s="22"/>
      <c r="U310" s="25"/>
      <c r="V310" s="22"/>
      <c r="W310" s="25"/>
    </row>
    <row r="311" spans="1:23" x14ac:dyDescent="0.2">
      <c r="A311" s="6"/>
      <c r="B311" s="19"/>
      <c r="C311" s="16"/>
      <c r="D311" s="19"/>
      <c r="E311" s="16"/>
      <c r="F311" s="19"/>
      <c r="G311" s="16"/>
      <c r="H311" s="22"/>
      <c r="I311" s="25"/>
      <c r="J311" s="22"/>
      <c r="K311" s="25"/>
      <c r="L311" s="22"/>
      <c r="M311" s="25"/>
      <c r="N311" s="19"/>
      <c r="O311" s="19"/>
      <c r="P311" s="16"/>
      <c r="Q311" s="19"/>
      <c r="R311" s="16"/>
      <c r="S311" s="25"/>
      <c r="T311" s="22"/>
      <c r="U311" s="25"/>
      <c r="V311" s="22"/>
      <c r="W311" s="25"/>
    </row>
    <row r="312" spans="1:23" x14ac:dyDescent="0.2">
      <c r="A312" s="6"/>
      <c r="B312" s="19"/>
      <c r="C312" s="16"/>
      <c r="D312" s="19"/>
      <c r="E312" s="16"/>
      <c r="F312" s="19"/>
      <c r="G312" s="16"/>
      <c r="H312" s="22"/>
      <c r="I312" s="25"/>
      <c r="J312" s="22"/>
      <c r="K312" s="25"/>
      <c r="L312" s="22"/>
      <c r="M312" s="25"/>
      <c r="N312" s="19"/>
      <c r="O312" s="19"/>
      <c r="P312" s="16"/>
      <c r="Q312" s="19"/>
      <c r="R312" s="16"/>
      <c r="S312" s="25"/>
      <c r="T312" s="22"/>
      <c r="U312" s="25"/>
      <c r="V312" s="22"/>
      <c r="W312" s="25"/>
    </row>
    <row r="313" spans="1:23" x14ac:dyDescent="0.2">
      <c r="A313" s="6"/>
      <c r="B313" s="19"/>
      <c r="C313" s="16"/>
      <c r="D313" s="19"/>
      <c r="E313" s="16"/>
      <c r="F313" s="19"/>
      <c r="G313" s="16"/>
      <c r="H313" s="22"/>
      <c r="I313" s="25"/>
      <c r="J313" s="22"/>
      <c r="K313" s="25"/>
      <c r="L313" s="22"/>
      <c r="M313" s="25"/>
      <c r="N313" s="19"/>
      <c r="O313" s="19"/>
      <c r="P313" s="16"/>
      <c r="Q313" s="19"/>
      <c r="R313" s="16"/>
      <c r="S313" s="25"/>
      <c r="T313" s="22"/>
      <c r="U313" s="25"/>
      <c r="V313" s="22"/>
      <c r="W313" s="25"/>
    </row>
    <row r="314" spans="1:23" x14ac:dyDescent="0.2">
      <c r="A314" s="6"/>
      <c r="B314" s="19"/>
      <c r="C314" s="16"/>
      <c r="D314" s="19"/>
      <c r="E314" s="16"/>
      <c r="F314" s="19"/>
      <c r="G314" s="16"/>
      <c r="H314" s="22"/>
      <c r="I314" s="25"/>
      <c r="J314" s="22"/>
      <c r="K314" s="25"/>
      <c r="L314" s="22"/>
      <c r="M314" s="25"/>
      <c r="N314" s="19"/>
      <c r="O314" s="19"/>
      <c r="P314" s="16"/>
      <c r="Q314" s="19"/>
      <c r="R314" s="16"/>
      <c r="S314" s="25"/>
      <c r="T314" s="22"/>
      <c r="U314" s="25"/>
      <c r="V314" s="22"/>
      <c r="W314" s="25"/>
    </row>
    <row r="315" spans="1:23" x14ac:dyDescent="0.2">
      <c r="A315" s="6"/>
      <c r="B315" s="19"/>
      <c r="C315" s="16"/>
      <c r="D315" s="19"/>
      <c r="E315" s="16"/>
      <c r="F315" s="19"/>
      <c r="G315" s="16"/>
      <c r="H315" s="22"/>
      <c r="I315" s="25"/>
      <c r="J315" s="22"/>
      <c r="K315" s="25"/>
      <c r="L315" s="22"/>
      <c r="M315" s="25"/>
      <c r="N315" s="19"/>
      <c r="O315" s="19"/>
      <c r="P315" s="16"/>
      <c r="Q315" s="19"/>
      <c r="R315" s="16"/>
      <c r="S315" s="25"/>
      <c r="T315" s="22"/>
      <c r="U315" s="25"/>
      <c r="V315" s="22"/>
      <c r="W315" s="25"/>
    </row>
    <row r="316" spans="1:23" x14ac:dyDescent="0.2">
      <c r="A316" s="6"/>
      <c r="B316" s="19"/>
      <c r="C316" s="16"/>
      <c r="D316" s="19"/>
      <c r="E316" s="16"/>
      <c r="F316" s="19"/>
      <c r="G316" s="16"/>
      <c r="H316" s="22"/>
      <c r="I316" s="25"/>
      <c r="J316" s="22"/>
      <c r="K316" s="25"/>
      <c r="L316" s="22"/>
      <c r="M316" s="25"/>
      <c r="N316" s="19"/>
      <c r="O316" s="19"/>
      <c r="P316" s="16"/>
      <c r="Q316" s="19"/>
      <c r="R316" s="16"/>
      <c r="S316" s="25"/>
      <c r="T316" s="22"/>
      <c r="U316" s="25"/>
      <c r="V316" s="22"/>
      <c r="W316" s="25"/>
    </row>
    <row r="317" spans="1:23" x14ac:dyDescent="0.2">
      <c r="A317" s="6"/>
      <c r="B317" s="19"/>
      <c r="C317" s="16"/>
      <c r="D317" s="19"/>
      <c r="E317" s="16"/>
      <c r="F317" s="19"/>
      <c r="G317" s="16"/>
      <c r="H317" s="22"/>
      <c r="I317" s="25"/>
      <c r="J317" s="22"/>
      <c r="K317" s="25"/>
      <c r="L317" s="22"/>
      <c r="M317" s="25"/>
      <c r="N317" s="19"/>
      <c r="O317" s="19"/>
      <c r="P317" s="16"/>
      <c r="Q317" s="19"/>
      <c r="R317" s="16"/>
      <c r="S317" s="25"/>
      <c r="T317" s="22"/>
      <c r="U317" s="25"/>
      <c r="V317" s="22"/>
      <c r="W317" s="25"/>
    </row>
    <row r="318" spans="1:23" x14ac:dyDescent="0.2">
      <c r="A318" s="6"/>
      <c r="B318" s="19"/>
      <c r="C318" s="16"/>
      <c r="D318" s="19"/>
      <c r="E318" s="16"/>
      <c r="F318" s="19"/>
      <c r="G318" s="16"/>
      <c r="H318" s="22"/>
      <c r="I318" s="25"/>
      <c r="J318" s="22"/>
      <c r="K318" s="25"/>
      <c r="L318" s="22"/>
      <c r="M318" s="25"/>
      <c r="N318" s="19"/>
      <c r="O318" s="19"/>
      <c r="P318" s="16"/>
      <c r="Q318" s="19"/>
      <c r="R318" s="16"/>
      <c r="S318" s="25"/>
      <c r="T318" s="22"/>
      <c r="U318" s="25"/>
      <c r="V318" s="22"/>
      <c r="W318" s="25"/>
    </row>
    <row r="319" spans="1:23" x14ac:dyDescent="0.2">
      <c r="A319" s="6"/>
      <c r="B319" s="19"/>
      <c r="C319" s="16"/>
      <c r="D319" s="19"/>
      <c r="E319" s="16"/>
      <c r="F319" s="19"/>
      <c r="G319" s="16"/>
      <c r="H319" s="22"/>
      <c r="I319" s="25"/>
      <c r="J319" s="22"/>
      <c r="K319" s="25"/>
      <c r="L319" s="22"/>
      <c r="M319" s="25"/>
      <c r="N319" s="19"/>
      <c r="O319" s="19"/>
      <c r="P319" s="16"/>
      <c r="Q319" s="19"/>
      <c r="R319" s="16"/>
      <c r="S319" s="25"/>
      <c r="T319" s="22"/>
      <c r="U319" s="25"/>
      <c r="V319" s="22"/>
      <c r="W319" s="25"/>
    </row>
    <row r="320" spans="1:23" x14ac:dyDescent="0.2">
      <c r="A320" s="6"/>
      <c r="B320" s="19"/>
      <c r="C320" s="16"/>
      <c r="D320" s="19"/>
      <c r="E320" s="16"/>
      <c r="F320" s="19"/>
      <c r="G320" s="16"/>
      <c r="H320" s="22"/>
      <c r="I320" s="25"/>
      <c r="J320" s="22"/>
      <c r="K320" s="25"/>
      <c r="L320" s="22"/>
      <c r="M320" s="25"/>
      <c r="N320" s="19"/>
      <c r="O320" s="19"/>
      <c r="P320" s="16"/>
      <c r="Q320" s="19"/>
      <c r="R320" s="16"/>
      <c r="S320" s="25"/>
      <c r="T320" s="22"/>
      <c r="U320" s="25"/>
      <c r="V320" s="22"/>
      <c r="W320" s="25"/>
    </row>
    <row r="321" spans="1:23" x14ac:dyDescent="0.2">
      <c r="A321" s="6"/>
      <c r="B321" s="19"/>
      <c r="C321" s="16"/>
      <c r="D321" s="19"/>
      <c r="E321" s="16"/>
      <c r="F321" s="19"/>
      <c r="G321" s="16"/>
      <c r="H321" s="22"/>
      <c r="I321" s="25"/>
      <c r="J321" s="22"/>
      <c r="K321" s="25"/>
      <c r="L321" s="22"/>
      <c r="M321" s="25"/>
      <c r="N321" s="19"/>
      <c r="O321" s="19"/>
      <c r="P321" s="16"/>
      <c r="Q321" s="19"/>
      <c r="R321" s="16"/>
      <c r="S321" s="25"/>
      <c r="T321" s="22"/>
      <c r="U321" s="25"/>
      <c r="V321" s="22"/>
      <c r="W321" s="25"/>
    </row>
    <row r="322" spans="1:23" x14ac:dyDescent="0.2">
      <c r="A322" s="6"/>
      <c r="B322" s="19"/>
      <c r="C322" s="16"/>
      <c r="D322" s="19"/>
      <c r="E322" s="16"/>
      <c r="F322" s="19"/>
      <c r="G322" s="16"/>
      <c r="H322" s="22"/>
      <c r="I322" s="25"/>
      <c r="J322" s="22"/>
      <c r="K322" s="25"/>
      <c r="L322" s="22"/>
      <c r="M322" s="25"/>
      <c r="N322" s="19"/>
      <c r="O322" s="19"/>
      <c r="P322" s="16"/>
      <c r="Q322" s="19"/>
      <c r="R322" s="16"/>
      <c r="S322" s="25"/>
      <c r="T322" s="22"/>
      <c r="U322" s="25"/>
      <c r="V322" s="22"/>
      <c r="W322" s="25"/>
    </row>
    <row r="323" spans="1:23" x14ac:dyDescent="0.2">
      <c r="A323" s="6"/>
      <c r="B323" s="19"/>
      <c r="C323" s="16"/>
      <c r="D323" s="19"/>
      <c r="E323" s="16"/>
      <c r="F323" s="19"/>
      <c r="G323" s="16"/>
      <c r="H323" s="22"/>
      <c r="I323" s="25"/>
      <c r="J323" s="22"/>
      <c r="K323" s="25"/>
      <c r="L323" s="22"/>
      <c r="M323" s="25"/>
      <c r="N323" s="19"/>
      <c r="O323" s="19"/>
      <c r="P323" s="16"/>
      <c r="Q323" s="19"/>
      <c r="R323" s="16"/>
      <c r="S323" s="25"/>
      <c r="T323" s="22"/>
      <c r="U323" s="25"/>
      <c r="V323" s="22"/>
      <c r="W323" s="25"/>
    </row>
    <row r="324" spans="1:23" x14ac:dyDescent="0.2">
      <c r="A324" s="6"/>
      <c r="B324" s="19"/>
      <c r="C324" s="16"/>
      <c r="D324" s="19"/>
      <c r="E324" s="16"/>
      <c r="F324" s="19"/>
      <c r="G324" s="16"/>
      <c r="H324" s="22"/>
      <c r="I324" s="25"/>
      <c r="J324" s="22"/>
      <c r="K324" s="25"/>
      <c r="L324" s="22"/>
      <c r="M324" s="25"/>
      <c r="N324" s="19"/>
      <c r="O324" s="19"/>
      <c r="P324" s="16"/>
      <c r="Q324" s="19"/>
      <c r="R324" s="16"/>
      <c r="S324" s="25"/>
      <c r="T324" s="22"/>
      <c r="U324" s="25"/>
      <c r="V324" s="22"/>
      <c r="W324" s="25"/>
    </row>
    <row r="325" spans="1:23" x14ac:dyDescent="0.2">
      <c r="A325" s="6"/>
      <c r="B325" s="19"/>
      <c r="C325" s="16"/>
      <c r="D325" s="19"/>
      <c r="E325" s="16"/>
      <c r="F325" s="19"/>
      <c r="G325" s="16"/>
      <c r="H325" s="22"/>
      <c r="I325" s="25"/>
      <c r="J325" s="22"/>
      <c r="K325" s="25"/>
      <c r="L325" s="22"/>
      <c r="M325" s="25"/>
      <c r="N325" s="19"/>
      <c r="O325" s="19"/>
      <c r="P325" s="16"/>
      <c r="Q325" s="19"/>
      <c r="R325" s="16"/>
      <c r="S325" s="25"/>
      <c r="T325" s="22"/>
      <c r="U325" s="25"/>
      <c r="V325" s="22"/>
      <c r="W325" s="25"/>
    </row>
    <row r="326" spans="1:23" x14ac:dyDescent="0.2">
      <c r="A326" s="6"/>
      <c r="B326" s="19"/>
      <c r="C326" s="16"/>
      <c r="D326" s="19"/>
      <c r="E326" s="16"/>
      <c r="F326" s="19"/>
      <c r="G326" s="16"/>
      <c r="H326" s="22"/>
      <c r="I326" s="25"/>
      <c r="J326" s="22"/>
      <c r="K326" s="25"/>
      <c r="L326" s="22"/>
      <c r="M326" s="25"/>
      <c r="N326" s="19"/>
      <c r="O326" s="19"/>
      <c r="P326" s="16"/>
      <c r="Q326" s="19"/>
      <c r="R326" s="16"/>
      <c r="S326" s="25"/>
      <c r="T326" s="22"/>
      <c r="U326" s="25"/>
      <c r="V326" s="22"/>
      <c r="W326" s="25"/>
    </row>
    <row r="327" spans="1:23" x14ac:dyDescent="0.2">
      <c r="A327" s="6"/>
      <c r="B327" s="19"/>
      <c r="C327" s="16"/>
      <c r="D327" s="19"/>
      <c r="E327" s="16"/>
      <c r="F327" s="19"/>
      <c r="G327" s="16"/>
      <c r="H327" s="22"/>
      <c r="I327" s="25"/>
      <c r="J327" s="22"/>
      <c r="K327" s="25"/>
      <c r="L327" s="22"/>
      <c r="M327" s="25"/>
      <c r="N327" s="19"/>
      <c r="O327" s="19"/>
      <c r="P327" s="16"/>
      <c r="Q327" s="19"/>
      <c r="R327" s="16"/>
      <c r="S327" s="25"/>
      <c r="T327" s="22"/>
      <c r="U327" s="25"/>
      <c r="V327" s="22"/>
      <c r="W327" s="25"/>
    </row>
    <row r="328" spans="1:23" x14ac:dyDescent="0.2">
      <c r="A328" s="6"/>
      <c r="B328" s="19"/>
      <c r="C328" s="16"/>
      <c r="D328" s="19"/>
      <c r="E328" s="16"/>
      <c r="F328" s="19"/>
      <c r="G328" s="16"/>
      <c r="H328" s="22"/>
      <c r="I328" s="25"/>
      <c r="J328" s="22"/>
      <c r="K328" s="25"/>
      <c r="L328" s="22"/>
      <c r="M328" s="25"/>
      <c r="N328" s="19"/>
      <c r="O328" s="19"/>
      <c r="P328" s="16"/>
      <c r="Q328" s="19"/>
      <c r="R328" s="16"/>
      <c r="S328" s="25"/>
      <c r="T328" s="22"/>
      <c r="U328" s="25"/>
      <c r="V328" s="22"/>
      <c r="W328" s="25"/>
    </row>
    <row r="329" spans="1:23" x14ac:dyDescent="0.2">
      <c r="A329" s="6"/>
      <c r="B329" s="19"/>
      <c r="C329" s="16"/>
      <c r="D329" s="19"/>
      <c r="E329" s="16"/>
      <c r="F329" s="19"/>
      <c r="G329" s="16"/>
      <c r="H329" s="22"/>
      <c r="I329" s="25"/>
      <c r="J329" s="22"/>
      <c r="K329" s="25"/>
      <c r="L329" s="22"/>
      <c r="M329" s="25"/>
      <c r="N329" s="19"/>
      <c r="O329" s="19"/>
      <c r="P329" s="16"/>
      <c r="Q329" s="19"/>
      <c r="R329" s="16"/>
      <c r="S329" s="25"/>
      <c r="T329" s="22"/>
      <c r="U329" s="25"/>
      <c r="V329" s="22"/>
      <c r="W329" s="25"/>
    </row>
    <row r="330" spans="1:23" x14ac:dyDescent="0.2">
      <c r="A330" s="6"/>
      <c r="B330" s="19"/>
      <c r="C330" s="16"/>
      <c r="D330" s="19"/>
      <c r="E330" s="16"/>
      <c r="F330" s="19"/>
      <c r="G330" s="16"/>
      <c r="H330" s="22"/>
      <c r="I330" s="25"/>
      <c r="J330" s="22"/>
      <c r="K330" s="25"/>
      <c r="L330" s="22"/>
      <c r="M330" s="25"/>
      <c r="N330" s="19"/>
      <c r="O330" s="19"/>
      <c r="P330" s="16"/>
      <c r="Q330" s="19"/>
      <c r="R330" s="16"/>
      <c r="S330" s="25"/>
      <c r="T330" s="22"/>
      <c r="U330" s="25"/>
      <c r="V330" s="22"/>
      <c r="W330" s="25"/>
    </row>
    <row r="331" spans="1:23" x14ac:dyDescent="0.2">
      <c r="A331" s="6"/>
      <c r="B331" s="19"/>
      <c r="C331" s="16"/>
      <c r="D331" s="19"/>
      <c r="E331" s="16"/>
      <c r="F331" s="19"/>
      <c r="G331" s="16"/>
      <c r="H331" s="22"/>
      <c r="I331" s="25"/>
      <c r="J331" s="22"/>
      <c r="K331" s="25"/>
      <c r="L331" s="22"/>
      <c r="M331" s="25"/>
      <c r="N331" s="19"/>
      <c r="O331" s="19"/>
      <c r="P331" s="16"/>
      <c r="Q331" s="19"/>
      <c r="R331" s="16"/>
      <c r="S331" s="25"/>
      <c r="T331" s="22"/>
      <c r="U331" s="25"/>
      <c r="V331" s="22"/>
      <c r="W331" s="25"/>
    </row>
    <row r="332" spans="1:23" x14ac:dyDescent="0.2">
      <c r="A332" s="6"/>
      <c r="B332" s="19"/>
      <c r="C332" s="16"/>
      <c r="D332" s="19"/>
      <c r="E332" s="16"/>
      <c r="F332" s="19"/>
      <c r="G332" s="16"/>
      <c r="H332" s="22"/>
      <c r="I332" s="25"/>
      <c r="J332" s="22"/>
      <c r="K332" s="25"/>
      <c r="L332" s="22"/>
      <c r="M332" s="25"/>
      <c r="N332" s="19"/>
      <c r="O332" s="19"/>
      <c r="P332" s="16"/>
      <c r="Q332" s="19"/>
      <c r="R332" s="16"/>
      <c r="S332" s="25"/>
      <c r="T332" s="22"/>
      <c r="U332" s="25"/>
      <c r="V332" s="22"/>
      <c r="W332" s="25"/>
    </row>
    <row r="333" spans="1:23" x14ac:dyDescent="0.2">
      <c r="A333" s="6"/>
      <c r="B333" s="19"/>
      <c r="C333" s="16"/>
      <c r="D333" s="19"/>
      <c r="E333" s="16"/>
      <c r="F333" s="19"/>
      <c r="G333" s="16"/>
      <c r="H333" s="22"/>
      <c r="I333" s="25"/>
      <c r="J333" s="22"/>
      <c r="K333" s="25"/>
      <c r="L333" s="22"/>
      <c r="M333" s="25"/>
      <c r="N333" s="19"/>
      <c r="O333" s="19"/>
      <c r="P333" s="16"/>
      <c r="Q333" s="19"/>
      <c r="R333" s="16"/>
      <c r="S333" s="25"/>
      <c r="T333" s="22"/>
      <c r="U333" s="25"/>
      <c r="V333" s="22"/>
      <c r="W333" s="25"/>
    </row>
    <row r="334" spans="1:23" x14ac:dyDescent="0.2">
      <c r="A334" s="6"/>
      <c r="B334" s="19"/>
      <c r="C334" s="16"/>
      <c r="D334" s="19"/>
      <c r="E334" s="16"/>
      <c r="F334" s="19"/>
      <c r="G334" s="16"/>
      <c r="H334" s="22"/>
      <c r="I334" s="25"/>
      <c r="J334" s="22"/>
      <c r="K334" s="25"/>
      <c r="L334" s="22"/>
      <c r="M334" s="25"/>
      <c r="N334" s="19"/>
      <c r="O334" s="19"/>
      <c r="P334" s="16"/>
      <c r="Q334" s="19"/>
      <c r="R334" s="16"/>
      <c r="S334" s="25"/>
      <c r="T334" s="22"/>
      <c r="U334" s="25"/>
      <c r="V334" s="22"/>
      <c r="W334" s="25"/>
    </row>
    <row r="335" spans="1:23" x14ac:dyDescent="0.2">
      <c r="A335" s="6"/>
      <c r="B335" s="19"/>
      <c r="C335" s="16"/>
      <c r="D335" s="19"/>
      <c r="E335" s="16"/>
      <c r="F335" s="19"/>
      <c r="G335" s="16"/>
      <c r="H335" s="22"/>
      <c r="I335" s="25"/>
      <c r="J335" s="22"/>
      <c r="K335" s="25"/>
      <c r="L335" s="22"/>
      <c r="M335" s="25"/>
      <c r="N335" s="19"/>
      <c r="O335" s="19"/>
      <c r="P335" s="16"/>
      <c r="Q335" s="19"/>
      <c r="R335" s="16"/>
      <c r="S335" s="25"/>
      <c r="T335" s="22"/>
      <c r="U335" s="25"/>
      <c r="V335" s="22"/>
      <c r="W335" s="25"/>
    </row>
    <row r="336" spans="1:23" x14ac:dyDescent="0.2">
      <c r="A336" s="6"/>
      <c r="B336" s="19"/>
      <c r="C336" s="16"/>
      <c r="D336" s="19"/>
      <c r="E336" s="16"/>
      <c r="F336" s="19"/>
      <c r="G336" s="16"/>
      <c r="H336" s="22"/>
      <c r="I336" s="25"/>
      <c r="J336" s="22"/>
      <c r="K336" s="25"/>
      <c r="L336" s="22"/>
      <c r="M336" s="25"/>
      <c r="N336" s="19"/>
      <c r="O336" s="19"/>
      <c r="P336" s="16"/>
      <c r="Q336" s="19"/>
      <c r="R336" s="16"/>
      <c r="S336" s="25"/>
      <c r="T336" s="22"/>
      <c r="U336" s="25"/>
      <c r="V336" s="22"/>
      <c r="W336" s="25"/>
    </row>
    <row r="337" spans="1:23" x14ac:dyDescent="0.2">
      <c r="A337" s="6"/>
      <c r="B337" s="19"/>
      <c r="C337" s="16"/>
      <c r="D337" s="19"/>
      <c r="E337" s="16"/>
      <c r="F337" s="19"/>
      <c r="G337" s="16"/>
      <c r="H337" s="22"/>
      <c r="I337" s="25"/>
      <c r="J337" s="22"/>
      <c r="K337" s="25"/>
      <c r="L337" s="22"/>
      <c r="M337" s="25"/>
      <c r="N337" s="19"/>
      <c r="O337" s="19"/>
      <c r="P337" s="16"/>
      <c r="Q337" s="19"/>
      <c r="R337" s="16"/>
      <c r="S337" s="25"/>
      <c r="T337" s="22"/>
      <c r="U337" s="25"/>
      <c r="V337" s="22"/>
      <c r="W337" s="25"/>
    </row>
    <row r="338" spans="1:23" x14ac:dyDescent="0.2">
      <c r="A338" s="6"/>
      <c r="B338" s="19"/>
      <c r="C338" s="16"/>
      <c r="D338" s="19"/>
      <c r="E338" s="16"/>
      <c r="F338" s="19"/>
      <c r="G338" s="16"/>
      <c r="H338" s="22"/>
      <c r="I338" s="25"/>
      <c r="J338" s="22"/>
      <c r="K338" s="25"/>
      <c r="L338" s="22"/>
      <c r="M338" s="25"/>
      <c r="N338" s="19"/>
      <c r="O338" s="19"/>
      <c r="P338" s="16"/>
      <c r="Q338" s="19"/>
      <c r="R338" s="16"/>
      <c r="S338" s="25"/>
      <c r="T338" s="22"/>
      <c r="U338" s="25"/>
      <c r="V338" s="22"/>
      <c r="W338" s="25"/>
    </row>
    <row r="339" spans="1:23" x14ac:dyDescent="0.2">
      <c r="A339" s="6"/>
      <c r="B339" s="19"/>
      <c r="C339" s="16"/>
      <c r="D339" s="19"/>
      <c r="E339" s="16"/>
      <c r="F339" s="19"/>
      <c r="G339" s="16"/>
      <c r="H339" s="22"/>
      <c r="I339" s="25"/>
      <c r="J339" s="22"/>
      <c r="K339" s="25"/>
      <c r="L339" s="22"/>
      <c r="M339" s="25"/>
      <c r="N339" s="19"/>
      <c r="O339" s="19"/>
      <c r="P339" s="16"/>
      <c r="Q339" s="19"/>
      <c r="R339" s="16"/>
      <c r="S339" s="25"/>
      <c r="T339" s="22"/>
      <c r="U339" s="25"/>
      <c r="V339" s="22"/>
      <c r="W339" s="25"/>
    </row>
    <row r="340" spans="1:23" x14ac:dyDescent="0.2">
      <c r="A340" s="6"/>
      <c r="B340" s="19"/>
      <c r="C340" s="16"/>
      <c r="D340" s="19"/>
      <c r="E340" s="16"/>
      <c r="F340" s="19"/>
      <c r="G340" s="16"/>
      <c r="H340" s="22"/>
      <c r="I340" s="25"/>
      <c r="J340" s="22"/>
      <c r="K340" s="25"/>
      <c r="L340" s="22"/>
      <c r="M340" s="25"/>
      <c r="N340" s="19"/>
      <c r="O340" s="19"/>
      <c r="P340" s="16"/>
      <c r="Q340" s="19"/>
      <c r="R340" s="16"/>
      <c r="S340" s="25"/>
      <c r="T340" s="22"/>
      <c r="U340" s="25"/>
      <c r="V340" s="22"/>
      <c r="W340" s="25"/>
    </row>
    <row r="341" spans="1:23" x14ac:dyDescent="0.2">
      <c r="A341" s="6"/>
      <c r="B341" s="19"/>
      <c r="C341" s="16"/>
      <c r="D341" s="19"/>
      <c r="E341" s="16"/>
      <c r="F341" s="19"/>
      <c r="G341" s="16"/>
      <c r="H341" s="22"/>
      <c r="I341" s="25"/>
      <c r="J341" s="22"/>
      <c r="K341" s="25"/>
      <c r="L341" s="22"/>
      <c r="M341" s="25"/>
      <c r="N341" s="19"/>
      <c r="O341" s="19"/>
      <c r="P341" s="16"/>
      <c r="Q341" s="19"/>
      <c r="R341" s="16"/>
      <c r="S341" s="25"/>
      <c r="T341" s="22"/>
      <c r="U341" s="25"/>
      <c r="V341" s="22"/>
      <c r="W341" s="25"/>
    </row>
    <row r="342" spans="1:23" x14ac:dyDescent="0.2">
      <c r="A342" s="6"/>
      <c r="B342" s="19"/>
      <c r="C342" s="16"/>
      <c r="D342" s="19"/>
      <c r="E342" s="16"/>
      <c r="F342" s="19"/>
      <c r="G342" s="16"/>
      <c r="H342" s="22"/>
      <c r="I342" s="25"/>
      <c r="J342" s="22"/>
      <c r="K342" s="25"/>
      <c r="L342" s="22"/>
      <c r="M342" s="25"/>
      <c r="N342" s="19"/>
      <c r="O342" s="19"/>
      <c r="P342" s="16"/>
      <c r="Q342" s="19"/>
      <c r="R342" s="16"/>
      <c r="S342" s="25"/>
      <c r="T342" s="22"/>
      <c r="U342" s="25"/>
      <c r="V342" s="22"/>
      <c r="W342" s="25"/>
    </row>
    <row r="343" spans="1:23" x14ac:dyDescent="0.2">
      <c r="A343" s="6"/>
      <c r="B343" s="19"/>
      <c r="C343" s="16"/>
      <c r="D343" s="19"/>
      <c r="E343" s="16"/>
      <c r="F343" s="19"/>
      <c r="G343" s="16"/>
      <c r="H343" s="22"/>
      <c r="I343" s="25"/>
      <c r="J343" s="22"/>
      <c r="K343" s="25"/>
      <c r="L343" s="22"/>
      <c r="M343" s="25"/>
      <c r="N343" s="19"/>
      <c r="O343" s="19"/>
      <c r="P343" s="16"/>
      <c r="Q343" s="19"/>
      <c r="R343" s="16"/>
      <c r="S343" s="25"/>
      <c r="T343" s="22"/>
      <c r="U343" s="25"/>
      <c r="V343" s="22"/>
      <c r="W343" s="25"/>
    </row>
    <row r="344" spans="1:23" x14ac:dyDescent="0.2">
      <c r="A344" s="6"/>
      <c r="B344" s="19"/>
      <c r="C344" s="16"/>
      <c r="D344" s="19"/>
      <c r="E344" s="16"/>
      <c r="F344" s="19"/>
      <c r="G344" s="16"/>
      <c r="H344" s="22"/>
      <c r="I344" s="25"/>
      <c r="J344" s="22"/>
      <c r="K344" s="25"/>
      <c r="L344" s="22"/>
      <c r="M344" s="25"/>
      <c r="N344" s="19"/>
      <c r="O344" s="19"/>
      <c r="P344" s="16"/>
      <c r="Q344" s="19"/>
      <c r="R344" s="16"/>
      <c r="S344" s="25"/>
      <c r="T344" s="22"/>
      <c r="U344" s="25"/>
      <c r="V344" s="22"/>
      <c r="W344" s="25"/>
    </row>
    <row r="345" spans="1:23" x14ac:dyDescent="0.2">
      <c r="A345" s="6"/>
      <c r="B345" s="19"/>
      <c r="C345" s="16"/>
      <c r="D345" s="19"/>
      <c r="E345" s="16"/>
      <c r="F345" s="19"/>
      <c r="G345" s="16"/>
      <c r="H345" s="22"/>
      <c r="I345" s="25"/>
      <c r="J345" s="22"/>
      <c r="K345" s="25"/>
      <c r="L345" s="22"/>
      <c r="M345" s="25"/>
      <c r="N345" s="19"/>
      <c r="O345" s="19"/>
      <c r="P345" s="16"/>
      <c r="Q345" s="19"/>
      <c r="R345" s="16"/>
      <c r="S345" s="25"/>
      <c r="T345" s="22"/>
      <c r="U345" s="25"/>
      <c r="V345" s="22"/>
      <c r="W345" s="25"/>
    </row>
    <row r="346" spans="1:23" x14ac:dyDescent="0.2">
      <c r="A346" s="6"/>
      <c r="B346" s="19"/>
      <c r="C346" s="16"/>
      <c r="D346" s="19"/>
      <c r="E346" s="16"/>
      <c r="F346" s="19"/>
      <c r="G346" s="16"/>
      <c r="H346" s="22"/>
      <c r="I346" s="25"/>
      <c r="J346" s="22"/>
      <c r="K346" s="25"/>
      <c r="L346" s="22"/>
      <c r="M346" s="25"/>
      <c r="N346" s="19"/>
      <c r="O346" s="19"/>
      <c r="P346" s="16"/>
      <c r="Q346" s="19"/>
      <c r="R346" s="16"/>
      <c r="S346" s="25"/>
      <c r="T346" s="22"/>
      <c r="U346" s="25"/>
      <c r="V346" s="22"/>
      <c r="W346" s="25"/>
    </row>
    <row r="347" spans="1:23" x14ac:dyDescent="0.2">
      <c r="A347" s="6"/>
      <c r="B347" s="19"/>
      <c r="C347" s="16"/>
      <c r="D347" s="19"/>
      <c r="E347" s="16"/>
      <c r="F347" s="19"/>
      <c r="G347" s="16"/>
      <c r="H347" s="22"/>
      <c r="I347" s="25"/>
      <c r="J347" s="22"/>
      <c r="K347" s="25"/>
      <c r="L347" s="22"/>
      <c r="M347" s="25"/>
      <c r="N347" s="19"/>
      <c r="O347" s="19"/>
      <c r="P347" s="16"/>
      <c r="Q347" s="19"/>
      <c r="R347" s="16"/>
      <c r="S347" s="25"/>
      <c r="T347" s="22"/>
      <c r="U347" s="25"/>
      <c r="V347" s="22"/>
      <c r="W347" s="25"/>
    </row>
    <row r="348" spans="1:23" x14ac:dyDescent="0.2">
      <c r="A348" s="6"/>
      <c r="B348" s="19"/>
      <c r="C348" s="16"/>
      <c r="D348" s="19"/>
      <c r="E348" s="16"/>
      <c r="F348" s="19"/>
      <c r="G348" s="16"/>
      <c r="H348" s="22"/>
      <c r="I348" s="25"/>
      <c r="J348" s="22"/>
      <c r="K348" s="25"/>
      <c r="L348" s="22"/>
      <c r="M348" s="25"/>
      <c r="N348" s="19"/>
      <c r="O348" s="19"/>
      <c r="P348" s="16"/>
      <c r="Q348" s="19"/>
      <c r="R348" s="16"/>
      <c r="S348" s="25"/>
      <c r="T348" s="22"/>
      <c r="U348" s="25"/>
      <c r="V348" s="22"/>
      <c r="W348" s="25"/>
    </row>
    <row r="349" spans="1:23" x14ac:dyDescent="0.2">
      <c r="A349" s="6"/>
      <c r="B349" s="19"/>
      <c r="C349" s="16"/>
      <c r="D349" s="19"/>
      <c r="E349" s="16"/>
      <c r="F349" s="19"/>
      <c r="G349" s="16"/>
      <c r="H349" s="22"/>
      <c r="I349" s="25"/>
      <c r="J349" s="22"/>
      <c r="K349" s="25"/>
      <c r="L349" s="22"/>
      <c r="M349" s="25"/>
      <c r="N349" s="19"/>
      <c r="O349" s="19"/>
      <c r="P349" s="16"/>
      <c r="Q349" s="19"/>
      <c r="R349" s="16"/>
      <c r="S349" s="25"/>
      <c r="T349" s="22"/>
      <c r="U349" s="25"/>
      <c r="V349" s="22"/>
      <c r="W349" s="25"/>
    </row>
    <row r="350" spans="1:23" x14ac:dyDescent="0.2">
      <c r="A350" s="6"/>
      <c r="B350" s="19"/>
      <c r="C350" s="16"/>
      <c r="D350" s="19"/>
      <c r="E350" s="16"/>
      <c r="F350" s="19"/>
      <c r="G350" s="16"/>
      <c r="H350" s="22"/>
      <c r="I350" s="25"/>
      <c r="J350" s="22"/>
      <c r="K350" s="25"/>
      <c r="L350" s="22"/>
      <c r="M350" s="25"/>
      <c r="N350" s="19"/>
      <c r="O350" s="19"/>
      <c r="P350" s="16"/>
      <c r="Q350" s="19"/>
      <c r="R350" s="16"/>
      <c r="S350" s="25"/>
      <c r="T350" s="22"/>
      <c r="U350" s="25"/>
      <c r="V350" s="22"/>
      <c r="W350" s="25"/>
    </row>
    <row r="351" spans="1:23" x14ac:dyDescent="0.2">
      <c r="A351" s="6"/>
      <c r="B351" s="19"/>
      <c r="C351" s="16"/>
      <c r="D351" s="19"/>
      <c r="E351" s="16"/>
      <c r="F351" s="19"/>
      <c r="G351" s="16"/>
      <c r="H351" s="22"/>
      <c r="I351" s="25"/>
      <c r="J351" s="22"/>
      <c r="K351" s="25"/>
      <c r="L351" s="22"/>
      <c r="M351" s="25"/>
      <c r="N351" s="19"/>
      <c r="O351" s="19"/>
      <c r="P351" s="16"/>
      <c r="Q351" s="19"/>
      <c r="R351" s="16"/>
      <c r="S351" s="25"/>
      <c r="T351" s="22"/>
      <c r="U351" s="25"/>
      <c r="V351" s="22"/>
      <c r="W351" s="25"/>
    </row>
    <row r="352" spans="1:23" x14ac:dyDescent="0.2">
      <c r="A352" s="6"/>
      <c r="B352" s="19"/>
      <c r="C352" s="16"/>
      <c r="D352" s="19"/>
      <c r="E352" s="16"/>
      <c r="F352" s="19"/>
      <c r="G352" s="16"/>
      <c r="H352" s="22"/>
      <c r="I352" s="25"/>
      <c r="J352" s="22"/>
      <c r="K352" s="25"/>
      <c r="L352" s="22"/>
      <c r="M352" s="25"/>
      <c r="N352" s="19"/>
      <c r="O352" s="19"/>
      <c r="P352" s="16"/>
      <c r="Q352" s="19"/>
      <c r="R352" s="16"/>
      <c r="S352" s="25"/>
      <c r="T352" s="22"/>
      <c r="U352" s="25"/>
      <c r="V352" s="22"/>
      <c r="W352" s="25"/>
    </row>
    <row r="353" spans="1:23" x14ac:dyDescent="0.2">
      <c r="A353" s="6"/>
      <c r="B353" s="19"/>
      <c r="C353" s="16"/>
      <c r="D353" s="19"/>
      <c r="E353" s="16"/>
      <c r="F353" s="19"/>
      <c r="G353" s="16"/>
      <c r="H353" s="22"/>
      <c r="I353" s="25"/>
      <c r="J353" s="22"/>
      <c r="K353" s="25"/>
      <c r="L353" s="22"/>
      <c r="M353" s="25"/>
      <c r="N353" s="19"/>
      <c r="O353" s="19"/>
      <c r="P353" s="16"/>
      <c r="Q353" s="19"/>
      <c r="R353" s="16"/>
      <c r="S353" s="25"/>
      <c r="T353" s="22"/>
      <c r="U353" s="25"/>
      <c r="V353" s="22"/>
      <c r="W353" s="25"/>
    </row>
    <row r="354" spans="1:23" x14ac:dyDescent="0.2">
      <c r="A354" s="6"/>
      <c r="B354" s="19"/>
      <c r="C354" s="16"/>
      <c r="D354" s="19"/>
      <c r="E354" s="16"/>
      <c r="F354" s="19"/>
      <c r="G354" s="16"/>
      <c r="H354" s="22"/>
      <c r="I354" s="25"/>
      <c r="J354" s="22"/>
      <c r="K354" s="25"/>
      <c r="L354" s="22"/>
      <c r="M354" s="25"/>
      <c r="N354" s="19"/>
      <c r="O354" s="19"/>
      <c r="P354" s="16"/>
      <c r="Q354" s="19"/>
      <c r="R354" s="16"/>
      <c r="S354" s="25"/>
      <c r="T354" s="22"/>
      <c r="U354" s="25"/>
      <c r="V354" s="22"/>
      <c r="W354" s="25"/>
    </row>
    <row r="355" spans="1:23" x14ac:dyDescent="0.2">
      <c r="A355" s="6"/>
      <c r="B355" s="19"/>
      <c r="C355" s="16"/>
      <c r="D355" s="19"/>
      <c r="E355" s="16"/>
      <c r="F355" s="19"/>
      <c r="G355" s="16"/>
      <c r="H355" s="22"/>
      <c r="I355" s="25"/>
      <c r="J355" s="22"/>
      <c r="K355" s="25"/>
      <c r="L355" s="22"/>
      <c r="M355" s="25"/>
      <c r="N355" s="19"/>
      <c r="O355" s="19"/>
      <c r="P355" s="16"/>
      <c r="Q355" s="19"/>
      <c r="R355" s="16"/>
      <c r="S355" s="25"/>
      <c r="T355" s="22"/>
      <c r="U355" s="25"/>
      <c r="V355" s="22"/>
      <c r="W355" s="25"/>
    </row>
    <row r="356" spans="1:23" x14ac:dyDescent="0.2">
      <c r="A356" s="6"/>
      <c r="B356" s="19"/>
      <c r="C356" s="16"/>
      <c r="D356" s="19"/>
      <c r="E356" s="16"/>
      <c r="F356" s="19"/>
      <c r="G356" s="16"/>
      <c r="H356" s="22"/>
      <c r="I356" s="25"/>
      <c r="J356" s="22"/>
      <c r="K356" s="25"/>
      <c r="L356" s="22"/>
      <c r="M356" s="25"/>
      <c r="N356" s="19"/>
      <c r="O356" s="19"/>
      <c r="P356" s="16"/>
      <c r="Q356" s="19"/>
      <c r="R356" s="16"/>
      <c r="S356" s="25"/>
      <c r="T356" s="22"/>
      <c r="U356" s="25"/>
      <c r="V356" s="22"/>
      <c r="W356" s="25"/>
    </row>
    <row r="357" spans="1:23" x14ac:dyDescent="0.2">
      <c r="A357" s="6"/>
      <c r="B357" s="19"/>
      <c r="C357" s="16"/>
      <c r="D357" s="19"/>
      <c r="E357" s="16"/>
      <c r="F357" s="19"/>
      <c r="G357" s="16"/>
      <c r="H357" s="22"/>
      <c r="I357" s="25"/>
      <c r="J357" s="22"/>
      <c r="K357" s="25"/>
      <c r="L357" s="22"/>
      <c r="M357" s="25"/>
      <c r="N357" s="19"/>
      <c r="O357" s="19"/>
      <c r="P357" s="16"/>
      <c r="Q357" s="19"/>
      <c r="R357" s="16"/>
      <c r="S357" s="25"/>
      <c r="T357" s="22"/>
      <c r="U357" s="25"/>
      <c r="V357" s="22"/>
      <c r="W357" s="25"/>
    </row>
    <row r="358" spans="1:23" x14ac:dyDescent="0.2">
      <c r="A358" s="6"/>
      <c r="B358" s="19"/>
      <c r="C358" s="16"/>
      <c r="D358" s="19"/>
      <c r="E358" s="16"/>
      <c r="F358" s="19"/>
      <c r="G358" s="16"/>
      <c r="H358" s="22"/>
      <c r="I358" s="25"/>
      <c r="J358" s="22"/>
      <c r="K358" s="25"/>
      <c r="L358" s="22"/>
      <c r="M358" s="25"/>
      <c r="N358" s="19"/>
      <c r="O358" s="19"/>
      <c r="P358" s="16"/>
      <c r="Q358" s="19"/>
      <c r="R358" s="16"/>
      <c r="S358" s="25"/>
      <c r="T358" s="22"/>
      <c r="U358" s="25"/>
      <c r="V358" s="22"/>
      <c r="W358" s="25"/>
    </row>
    <row r="359" spans="1:23" x14ac:dyDescent="0.2">
      <c r="A359" s="6"/>
      <c r="B359" s="19"/>
      <c r="C359" s="16"/>
      <c r="D359" s="19"/>
      <c r="E359" s="16"/>
      <c r="F359" s="19"/>
      <c r="G359" s="16"/>
      <c r="H359" s="22"/>
      <c r="I359" s="25"/>
      <c r="J359" s="22"/>
      <c r="K359" s="25"/>
      <c r="L359" s="22"/>
      <c r="M359" s="25"/>
      <c r="N359" s="19"/>
      <c r="O359" s="19"/>
      <c r="P359" s="16"/>
      <c r="Q359" s="19"/>
      <c r="R359" s="16"/>
      <c r="S359" s="25"/>
      <c r="T359" s="22"/>
      <c r="U359" s="25"/>
      <c r="V359" s="22"/>
      <c r="W359" s="25"/>
    </row>
    <row r="360" spans="1:23" x14ac:dyDescent="0.2">
      <c r="A360" s="6"/>
      <c r="B360" s="19"/>
      <c r="C360" s="16"/>
      <c r="D360" s="19"/>
      <c r="E360" s="16"/>
      <c r="F360" s="19"/>
      <c r="G360" s="16"/>
      <c r="H360" s="22"/>
      <c r="I360" s="25"/>
      <c r="J360" s="22"/>
      <c r="K360" s="25"/>
      <c r="L360" s="22"/>
      <c r="M360" s="25"/>
      <c r="N360" s="19"/>
      <c r="O360" s="19"/>
      <c r="P360" s="16"/>
      <c r="Q360" s="19"/>
      <c r="R360" s="16"/>
      <c r="S360" s="25"/>
      <c r="T360" s="22"/>
      <c r="U360" s="25"/>
      <c r="V360" s="22"/>
      <c r="W360" s="25"/>
    </row>
    <row r="361" spans="1:23" x14ac:dyDescent="0.2">
      <c r="A361" s="6"/>
      <c r="B361" s="19"/>
      <c r="C361" s="16"/>
      <c r="D361" s="19"/>
      <c r="E361" s="16"/>
      <c r="F361" s="19"/>
      <c r="G361" s="16"/>
      <c r="H361" s="22"/>
      <c r="I361" s="25"/>
      <c r="J361" s="22"/>
      <c r="K361" s="25"/>
      <c r="L361" s="22"/>
      <c r="M361" s="25"/>
      <c r="N361" s="19"/>
      <c r="O361" s="19"/>
      <c r="P361" s="16"/>
      <c r="Q361" s="19"/>
      <c r="R361" s="16"/>
      <c r="S361" s="25"/>
      <c r="T361" s="22"/>
      <c r="U361" s="25"/>
      <c r="V361" s="22"/>
      <c r="W361" s="25"/>
    </row>
    <row r="362" spans="1:23" x14ac:dyDescent="0.2">
      <c r="A362" s="6"/>
      <c r="B362" s="19"/>
      <c r="C362" s="16"/>
      <c r="D362" s="19"/>
      <c r="E362" s="16"/>
      <c r="F362" s="19"/>
      <c r="G362" s="16"/>
      <c r="H362" s="22"/>
      <c r="I362" s="25"/>
      <c r="J362" s="22"/>
      <c r="K362" s="25"/>
      <c r="L362" s="22"/>
      <c r="M362" s="25"/>
      <c r="N362" s="19"/>
      <c r="O362" s="19"/>
      <c r="P362" s="16"/>
      <c r="Q362" s="19"/>
      <c r="R362" s="16"/>
      <c r="S362" s="25"/>
      <c r="T362" s="22"/>
      <c r="U362" s="25"/>
      <c r="V362" s="22"/>
      <c r="W362" s="25"/>
    </row>
    <row r="363" spans="1:23" x14ac:dyDescent="0.2">
      <c r="A363" s="6"/>
      <c r="B363" s="19"/>
      <c r="C363" s="16"/>
      <c r="D363" s="19"/>
      <c r="E363" s="16"/>
      <c r="F363" s="19"/>
      <c r="G363" s="16"/>
      <c r="H363" s="22"/>
      <c r="I363" s="25"/>
      <c r="J363" s="22"/>
      <c r="K363" s="25"/>
      <c r="L363" s="22"/>
      <c r="M363" s="25"/>
      <c r="N363" s="19"/>
      <c r="O363" s="19"/>
      <c r="P363" s="16"/>
      <c r="Q363" s="19"/>
      <c r="R363" s="16"/>
      <c r="S363" s="25"/>
      <c r="T363" s="22"/>
      <c r="U363" s="25"/>
      <c r="V363" s="22"/>
      <c r="W363" s="25"/>
    </row>
    <row r="364" spans="1:23" x14ac:dyDescent="0.2">
      <c r="A364" s="6"/>
      <c r="B364" s="19"/>
      <c r="C364" s="16"/>
      <c r="D364" s="19"/>
      <c r="E364" s="16"/>
      <c r="F364" s="19"/>
      <c r="G364" s="16"/>
      <c r="H364" s="22"/>
      <c r="I364" s="25"/>
      <c r="J364" s="22"/>
      <c r="K364" s="25"/>
      <c r="L364" s="22"/>
      <c r="M364" s="25"/>
      <c r="N364" s="19"/>
      <c r="O364" s="19"/>
      <c r="P364" s="16"/>
      <c r="Q364" s="19"/>
      <c r="R364" s="16"/>
      <c r="S364" s="25"/>
      <c r="T364" s="22"/>
      <c r="U364" s="25"/>
      <c r="V364" s="22"/>
      <c r="W364" s="25"/>
    </row>
    <row r="365" spans="1:23" x14ac:dyDescent="0.2">
      <c r="A365" s="6"/>
      <c r="B365" s="19"/>
      <c r="C365" s="16"/>
      <c r="D365" s="19"/>
      <c r="E365" s="16"/>
      <c r="F365" s="19"/>
      <c r="G365" s="16"/>
      <c r="H365" s="22"/>
      <c r="I365" s="25"/>
      <c r="J365" s="22"/>
      <c r="K365" s="25"/>
      <c r="L365" s="22"/>
      <c r="M365" s="25"/>
      <c r="N365" s="19"/>
      <c r="O365" s="19"/>
      <c r="P365" s="16"/>
      <c r="Q365" s="19"/>
      <c r="R365" s="16"/>
      <c r="S365" s="25"/>
      <c r="T365" s="22"/>
      <c r="U365" s="25"/>
      <c r="V365" s="22"/>
      <c r="W365" s="25"/>
    </row>
    <row r="366" spans="1:23" x14ac:dyDescent="0.2">
      <c r="A366" s="6"/>
      <c r="B366" s="19"/>
      <c r="C366" s="16"/>
      <c r="D366" s="19"/>
      <c r="E366" s="16"/>
      <c r="F366" s="19"/>
      <c r="G366" s="16"/>
      <c r="H366" s="22"/>
      <c r="I366" s="25"/>
      <c r="J366" s="22"/>
      <c r="K366" s="25"/>
      <c r="L366" s="22"/>
      <c r="M366" s="25"/>
      <c r="N366" s="19"/>
      <c r="O366" s="19"/>
      <c r="P366" s="16"/>
      <c r="Q366" s="19"/>
      <c r="R366" s="16"/>
      <c r="S366" s="25"/>
      <c r="T366" s="22"/>
      <c r="U366" s="25"/>
      <c r="V366" s="22"/>
      <c r="W366" s="25"/>
    </row>
    <row r="367" spans="1:23" x14ac:dyDescent="0.2">
      <c r="A367" s="6"/>
      <c r="B367" s="19"/>
      <c r="C367" s="16"/>
      <c r="D367" s="19"/>
      <c r="E367" s="16"/>
      <c r="F367" s="19"/>
      <c r="G367" s="16"/>
      <c r="H367" s="22"/>
      <c r="I367" s="25"/>
      <c r="J367" s="22"/>
      <c r="K367" s="25"/>
      <c r="L367" s="22"/>
      <c r="M367" s="25"/>
      <c r="N367" s="19"/>
      <c r="O367" s="19"/>
      <c r="P367" s="16"/>
      <c r="Q367" s="19"/>
      <c r="R367" s="16"/>
      <c r="S367" s="25"/>
      <c r="T367" s="22"/>
      <c r="U367" s="25"/>
      <c r="V367" s="22"/>
      <c r="W367" s="25"/>
    </row>
    <row r="368" spans="1:23" x14ac:dyDescent="0.2">
      <c r="A368" s="6"/>
      <c r="B368" s="19"/>
      <c r="C368" s="16"/>
      <c r="D368" s="19"/>
      <c r="E368" s="16"/>
      <c r="F368" s="19"/>
      <c r="G368" s="16"/>
      <c r="H368" s="22"/>
      <c r="I368" s="25"/>
      <c r="J368" s="22"/>
      <c r="K368" s="25"/>
      <c r="L368" s="22"/>
      <c r="M368" s="25"/>
      <c r="N368" s="19"/>
      <c r="O368" s="19"/>
      <c r="P368" s="16"/>
      <c r="Q368" s="19"/>
      <c r="R368" s="16"/>
      <c r="S368" s="25"/>
      <c r="T368" s="22"/>
      <c r="U368" s="25"/>
      <c r="V368" s="22"/>
      <c r="W368" s="25"/>
    </row>
    <row r="369" spans="1:23" x14ac:dyDescent="0.2">
      <c r="A369" s="6"/>
      <c r="B369" s="19"/>
      <c r="C369" s="16"/>
      <c r="D369" s="19"/>
      <c r="E369" s="16"/>
      <c r="F369" s="19"/>
      <c r="G369" s="16"/>
      <c r="H369" s="22"/>
      <c r="I369" s="25"/>
      <c r="J369" s="22"/>
      <c r="K369" s="25"/>
      <c r="L369" s="22"/>
      <c r="M369" s="25"/>
      <c r="N369" s="19"/>
      <c r="O369" s="19"/>
      <c r="P369" s="16"/>
      <c r="Q369" s="19"/>
      <c r="R369" s="16"/>
      <c r="S369" s="25"/>
      <c r="T369" s="22"/>
      <c r="U369" s="25"/>
      <c r="V369" s="22"/>
      <c r="W369" s="25"/>
    </row>
  </sheetData>
  <conditionalFormatting sqref="B1:W369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9E0D-FC62-4514-9493-54E904F00CAF}">
  <dimension ref="A1:W369"/>
  <sheetViews>
    <sheetView topLeftCell="A170" workbookViewId="0">
      <selection activeCell="A182" sqref="A182:M182"/>
    </sheetView>
  </sheetViews>
  <sheetFormatPr baseColWidth="10" defaultRowHeight="15" x14ac:dyDescent="0.2"/>
  <cols>
    <col min="1" max="1" width="18.5" style="2" customWidth="1"/>
  </cols>
  <sheetData>
    <row r="1" spans="1:23" s="7" customFormat="1" x14ac:dyDescent="0.2">
      <c r="A1" s="5" t="s">
        <v>574</v>
      </c>
      <c r="B1" s="18" t="s">
        <v>22</v>
      </c>
      <c r="C1" s="15" t="s">
        <v>13</v>
      </c>
      <c r="D1" s="18" t="s">
        <v>7</v>
      </c>
      <c r="E1" s="15" t="s">
        <v>6</v>
      </c>
      <c r="F1" s="18" t="s">
        <v>5</v>
      </c>
      <c r="G1" s="15" t="s">
        <v>4</v>
      </c>
      <c r="H1" s="21" t="s">
        <v>3</v>
      </c>
      <c r="I1" s="24" t="s">
        <v>2</v>
      </c>
      <c r="J1" s="21" t="s">
        <v>1</v>
      </c>
      <c r="K1" s="24" t="s">
        <v>21</v>
      </c>
      <c r="L1" s="21" t="s">
        <v>20</v>
      </c>
      <c r="M1" s="24" t="s">
        <v>19</v>
      </c>
      <c r="N1" s="18" t="s">
        <v>18</v>
      </c>
      <c r="O1" s="18" t="s">
        <v>17</v>
      </c>
      <c r="P1" s="15" t="s">
        <v>16</v>
      </c>
      <c r="Q1" s="18" t="s">
        <v>15</v>
      </c>
      <c r="R1" s="15" t="s">
        <v>14</v>
      </c>
      <c r="S1" s="24" t="s">
        <v>12</v>
      </c>
      <c r="T1" s="21" t="s">
        <v>11</v>
      </c>
      <c r="U1" s="24" t="s">
        <v>10</v>
      </c>
      <c r="V1" s="21" t="s">
        <v>9</v>
      </c>
      <c r="W1" s="24" t="s">
        <v>8</v>
      </c>
    </row>
    <row r="2" spans="1:23" x14ac:dyDescent="0.2">
      <c r="A2" s="6" t="s">
        <v>573</v>
      </c>
      <c r="B2" s="19">
        <v>0</v>
      </c>
      <c r="C2" s="16">
        <v>0</v>
      </c>
      <c r="D2" s="19">
        <v>0</v>
      </c>
      <c r="E2" s="16">
        <v>0</v>
      </c>
      <c r="F2" s="19">
        <v>0</v>
      </c>
      <c r="G2" s="16">
        <v>0</v>
      </c>
      <c r="H2" s="22">
        <v>0</v>
      </c>
      <c r="I2" s="25">
        <v>0</v>
      </c>
      <c r="J2" s="22">
        <v>0</v>
      </c>
      <c r="K2" s="25">
        <v>0</v>
      </c>
      <c r="L2" s="22">
        <v>1.2296190640139685E-5</v>
      </c>
      <c r="M2" s="25">
        <v>0</v>
      </c>
      <c r="N2" s="19">
        <v>0</v>
      </c>
      <c r="O2" s="19">
        <v>0</v>
      </c>
      <c r="P2" s="16">
        <v>0</v>
      </c>
      <c r="Q2" s="19">
        <v>0</v>
      </c>
      <c r="R2" s="16">
        <v>0</v>
      </c>
      <c r="S2" s="25">
        <v>0</v>
      </c>
      <c r="T2" s="22">
        <v>0</v>
      </c>
      <c r="U2" s="25">
        <v>0</v>
      </c>
      <c r="V2" s="22">
        <v>0</v>
      </c>
      <c r="W2" s="25">
        <v>0</v>
      </c>
    </row>
    <row r="3" spans="1:23" x14ac:dyDescent="0.2">
      <c r="A3" s="6" t="s">
        <v>572</v>
      </c>
      <c r="B3" s="19">
        <v>2.9086678301337986E-4</v>
      </c>
      <c r="C3" s="16">
        <v>2.5622558931885544E-4</v>
      </c>
      <c r="D3" s="19">
        <v>1.5704387990762125E-3</v>
      </c>
      <c r="E3" s="16">
        <v>9.9853955099684136E-4</v>
      </c>
      <c r="F3" s="19">
        <v>0</v>
      </c>
      <c r="G3" s="16">
        <v>4.3909494782518857E-4</v>
      </c>
      <c r="H3" s="22">
        <v>1.5663035887930978E-4</v>
      </c>
      <c r="I3" s="25">
        <v>0</v>
      </c>
      <c r="J3" s="22">
        <v>0</v>
      </c>
      <c r="K3" s="25">
        <v>9.3836295879246086E-5</v>
      </c>
      <c r="L3" s="22">
        <v>0</v>
      </c>
      <c r="M3" s="25">
        <v>5.3209178583305619E-5</v>
      </c>
      <c r="N3" s="19">
        <v>0</v>
      </c>
      <c r="O3" s="19">
        <v>2.5119673918195177E-3</v>
      </c>
      <c r="P3" s="16">
        <v>8.6651750494690961E-4</v>
      </c>
      <c r="Q3" s="19">
        <v>1.0275160799594332E-3</v>
      </c>
      <c r="R3" s="16">
        <v>8.1406475385252574E-4</v>
      </c>
      <c r="S3" s="25">
        <v>0</v>
      </c>
      <c r="T3" s="22">
        <v>2.2745653052972097E-4</v>
      </c>
      <c r="U3" s="25">
        <v>3.819709702062643E-5</v>
      </c>
      <c r="V3" s="22">
        <v>0</v>
      </c>
      <c r="W3" s="25">
        <v>0</v>
      </c>
    </row>
    <row r="4" spans="1:23" x14ac:dyDescent="0.2">
      <c r="A4" s="6" t="s">
        <v>571</v>
      </c>
      <c r="B4" s="19">
        <v>0</v>
      </c>
      <c r="C4" s="16">
        <v>0</v>
      </c>
      <c r="D4" s="19">
        <v>5.684846331497602E-5</v>
      </c>
      <c r="E4" s="16">
        <v>0</v>
      </c>
      <c r="F4" s="19">
        <v>2.2887310512141718E-5</v>
      </c>
      <c r="G4" s="16">
        <v>0</v>
      </c>
      <c r="H4" s="22">
        <v>4.568385467313202E-5</v>
      </c>
      <c r="I4" s="25">
        <v>0</v>
      </c>
      <c r="J4" s="22">
        <v>0</v>
      </c>
      <c r="K4" s="25">
        <v>0</v>
      </c>
      <c r="L4" s="22">
        <v>2.5207190812286356E-4</v>
      </c>
      <c r="M4" s="25">
        <v>1.2637179913535084E-4</v>
      </c>
      <c r="N4" s="19">
        <v>0</v>
      </c>
      <c r="O4" s="19">
        <v>0</v>
      </c>
      <c r="P4" s="16">
        <v>0</v>
      </c>
      <c r="Q4" s="19">
        <v>0</v>
      </c>
      <c r="R4" s="16">
        <v>0</v>
      </c>
      <c r="S4" s="25">
        <v>0</v>
      </c>
      <c r="T4" s="22">
        <v>0</v>
      </c>
      <c r="U4" s="25">
        <v>0</v>
      </c>
      <c r="V4" s="22">
        <v>0</v>
      </c>
      <c r="W4" s="25">
        <v>0</v>
      </c>
    </row>
    <row r="5" spans="1:23" x14ac:dyDescent="0.2">
      <c r="A5" s="6" t="s">
        <v>570</v>
      </c>
      <c r="B5" s="19">
        <v>9.2548521867893594E-5</v>
      </c>
      <c r="C5" s="16">
        <v>0</v>
      </c>
      <c r="D5" s="19">
        <v>0</v>
      </c>
      <c r="E5" s="16">
        <v>0</v>
      </c>
      <c r="F5" s="19">
        <v>0</v>
      </c>
      <c r="G5" s="16">
        <v>0</v>
      </c>
      <c r="H5" s="22">
        <v>0</v>
      </c>
      <c r="I5" s="25">
        <v>0</v>
      </c>
      <c r="J5" s="22">
        <v>0</v>
      </c>
      <c r="K5" s="25">
        <v>0</v>
      </c>
      <c r="L5" s="22">
        <v>0</v>
      </c>
      <c r="M5" s="25">
        <v>0</v>
      </c>
      <c r="N5" s="19">
        <v>0</v>
      </c>
      <c r="O5" s="19">
        <v>0</v>
      </c>
      <c r="P5" s="16">
        <v>0</v>
      </c>
      <c r="Q5" s="19">
        <v>0</v>
      </c>
      <c r="R5" s="16">
        <v>0</v>
      </c>
      <c r="S5" s="25">
        <v>0</v>
      </c>
      <c r="T5" s="22">
        <v>0</v>
      </c>
      <c r="U5" s="25">
        <v>0</v>
      </c>
      <c r="V5" s="22">
        <v>0</v>
      </c>
      <c r="W5" s="25">
        <v>0</v>
      </c>
    </row>
    <row r="6" spans="1:23" x14ac:dyDescent="0.2">
      <c r="A6" s="6" t="s">
        <v>569</v>
      </c>
      <c r="B6" s="19">
        <v>0</v>
      </c>
      <c r="C6" s="16">
        <v>0</v>
      </c>
      <c r="D6" s="19">
        <v>0</v>
      </c>
      <c r="E6" s="16">
        <v>0</v>
      </c>
      <c r="F6" s="19">
        <v>0</v>
      </c>
      <c r="G6" s="16">
        <v>0</v>
      </c>
      <c r="H6" s="22">
        <v>0</v>
      </c>
      <c r="I6" s="25">
        <v>0</v>
      </c>
      <c r="J6" s="22">
        <v>0</v>
      </c>
      <c r="K6" s="25">
        <v>0</v>
      </c>
      <c r="L6" s="22">
        <v>0</v>
      </c>
      <c r="M6" s="25">
        <v>0</v>
      </c>
      <c r="N6" s="19">
        <v>0</v>
      </c>
      <c r="O6" s="19">
        <v>0</v>
      </c>
      <c r="P6" s="16">
        <v>0</v>
      </c>
      <c r="Q6" s="19">
        <v>0</v>
      </c>
      <c r="R6" s="16">
        <v>2.8563675573772831E-5</v>
      </c>
      <c r="S6" s="25">
        <v>0</v>
      </c>
      <c r="T6" s="22">
        <v>0</v>
      </c>
      <c r="U6" s="25">
        <v>0</v>
      </c>
      <c r="V6" s="22">
        <v>0</v>
      </c>
      <c r="W6" s="25">
        <v>0</v>
      </c>
    </row>
    <row r="7" spans="1:23" x14ac:dyDescent="0.2">
      <c r="A7" s="6" t="s">
        <v>568</v>
      </c>
      <c r="B7" s="19">
        <v>1.2989846105029351E-2</v>
      </c>
      <c r="C7" s="16">
        <v>1.2908229688928286E-2</v>
      </c>
      <c r="D7" s="19">
        <v>1.4084206786285304E-2</v>
      </c>
      <c r="E7" s="16">
        <v>4.6055089494956352E-3</v>
      </c>
      <c r="F7" s="19">
        <v>1.1046941873860402E-2</v>
      </c>
      <c r="G7" s="16">
        <v>4.4081688879705197E-3</v>
      </c>
      <c r="H7" s="22">
        <v>2.1275623747772916E-3</v>
      </c>
      <c r="I7" s="25">
        <v>4.2563878013599839E-3</v>
      </c>
      <c r="J7" s="22">
        <v>2.0330622583655516E-3</v>
      </c>
      <c r="K7" s="25">
        <v>8.3112147778760818E-4</v>
      </c>
      <c r="L7" s="22">
        <v>2.0891227897597321E-2</v>
      </c>
      <c r="M7" s="25">
        <v>2.4396408380445631E-2</v>
      </c>
      <c r="N7" s="19">
        <v>1.0279519253180972E-2</v>
      </c>
      <c r="O7" s="19">
        <v>2.0538098172109259E-3</v>
      </c>
      <c r="P7" s="16">
        <v>4.0868586800481103E-3</v>
      </c>
      <c r="Q7" s="19">
        <v>2.8023165817075446E-3</v>
      </c>
      <c r="R7" s="16">
        <v>3.18484982647567E-3</v>
      </c>
      <c r="S7" s="25">
        <v>1.1013286789852319E-3</v>
      </c>
      <c r="T7" s="22">
        <v>7.6008390618681762E-3</v>
      </c>
      <c r="U7" s="25">
        <v>4.2844410491469313E-3</v>
      </c>
      <c r="V7" s="22">
        <v>6.3771732486404388E-3</v>
      </c>
      <c r="W7" s="25">
        <v>2.3737894086132286E-3</v>
      </c>
    </row>
    <row r="8" spans="1:23" x14ac:dyDescent="0.2">
      <c r="A8" s="6" t="s">
        <v>567</v>
      </c>
      <c r="B8" s="19">
        <v>0</v>
      </c>
      <c r="C8" s="16">
        <v>0</v>
      </c>
      <c r="D8" s="19">
        <v>2.842423165748801E-5</v>
      </c>
      <c r="E8" s="16">
        <v>0</v>
      </c>
      <c r="F8" s="19">
        <v>0</v>
      </c>
      <c r="G8" s="16">
        <v>0</v>
      </c>
      <c r="H8" s="22">
        <v>5.8736384579741169E-5</v>
      </c>
      <c r="I8" s="25">
        <v>1.4166494951576344E-4</v>
      </c>
      <c r="J8" s="22">
        <v>1.0665244634048793E-4</v>
      </c>
      <c r="K8" s="25">
        <v>8.7133703316442799E-5</v>
      </c>
      <c r="L8" s="22">
        <v>1.7829476428202543E-4</v>
      </c>
      <c r="M8" s="25">
        <v>1.9288327236448289E-4</v>
      </c>
      <c r="N8" s="19">
        <v>0</v>
      </c>
      <c r="O8" s="19">
        <v>0</v>
      </c>
      <c r="P8" s="16">
        <v>0</v>
      </c>
      <c r="Q8" s="19">
        <v>0</v>
      </c>
      <c r="R8" s="16">
        <v>0</v>
      </c>
      <c r="S8" s="25">
        <v>5.1524148724455294E-5</v>
      </c>
      <c r="T8" s="22">
        <v>4.0436716538617062E-4</v>
      </c>
      <c r="U8" s="25">
        <v>4.2016806722689073E-4</v>
      </c>
      <c r="V8" s="22">
        <v>4.4110882154627547E-5</v>
      </c>
      <c r="W8" s="25">
        <v>2.7199670307026584E-4</v>
      </c>
    </row>
    <row r="9" spans="1:23" x14ac:dyDescent="0.2">
      <c r="A9" s="6" t="s">
        <v>566</v>
      </c>
      <c r="B9" s="19">
        <v>1.9831826114548629E-5</v>
      </c>
      <c r="C9" s="16">
        <v>6.2325143347829697E-5</v>
      </c>
      <c r="D9" s="19">
        <v>5.684846331497602E-5</v>
      </c>
      <c r="E9" s="16">
        <v>6.792786061203002E-5</v>
      </c>
      <c r="F9" s="19">
        <v>0</v>
      </c>
      <c r="G9" s="16">
        <v>4.3048524296587115E-5</v>
      </c>
      <c r="H9" s="22">
        <v>5.8736384579741169E-5</v>
      </c>
      <c r="I9" s="25">
        <v>0</v>
      </c>
      <c r="J9" s="22">
        <v>2.6663111585121983E-5</v>
      </c>
      <c r="K9" s="25">
        <v>0</v>
      </c>
      <c r="L9" s="22">
        <v>2.459238128027937E-5</v>
      </c>
      <c r="M9" s="25">
        <v>0</v>
      </c>
      <c r="N9" s="19">
        <v>0</v>
      </c>
      <c r="O9" s="19">
        <v>8.6891953805077649E-5</v>
      </c>
      <c r="P9" s="16">
        <v>7.1132033988179143E-5</v>
      </c>
      <c r="Q9" s="19">
        <v>0</v>
      </c>
      <c r="R9" s="16">
        <v>9.9972864508204916E-5</v>
      </c>
      <c r="S9" s="25">
        <v>0</v>
      </c>
      <c r="T9" s="22">
        <v>0</v>
      </c>
      <c r="U9" s="25">
        <v>1.2732365673542144E-5</v>
      </c>
      <c r="V9" s="22">
        <v>3.7809327561109323E-5</v>
      </c>
      <c r="W9" s="25">
        <v>0</v>
      </c>
    </row>
    <row r="10" spans="1:23" x14ac:dyDescent="0.2">
      <c r="A10" s="6" t="s">
        <v>565</v>
      </c>
      <c r="B10" s="19">
        <v>0</v>
      </c>
      <c r="C10" s="16">
        <v>0</v>
      </c>
      <c r="D10" s="19">
        <v>2.7003020074613607E-4</v>
      </c>
      <c r="E10" s="16">
        <v>6.792786061203002E-5</v>
      </c>
      <c r="F10" s="19">
        <v>1.5105624938013533E-3</v>
      </c>
      <c r="G10" s="16">
        <v>2.1524262148293557E-4</v>
      </c>
      <c r="H10" s="22">
        <v>4.829436065445385E-4</v>
      </c>
      <c r="I10" s="25">
        <v>0</v>
      </c>
      <c r="J10" s="22">
        <v>3.9994667377682974E-5</v>
      </c>
      <c r="K10" s="25">
        <v>0</v>
      </c>
      <c r="L10" s="22">
        <v>2.7666428940314292E-4</v>
      </c>
      <c r="M10" s="25">
        <v>2.0618556701030926E-4</v>
      </c>
      <c r="N10" s="19">
        <v>0</v>
      </c>
      <c r="O10" s="19">
        <v>0</v>
      </c>
      <c r="P10" s="16">
        <v>0</v>
      </c>
      <c r="Q10" s="19">
        <v>3.3360911686994581E-4</v>
      </c>
      <c r="R10" s="16">
        <v>0</v>
      </c>
      <c r="S10" s="25">
        <v>5.7964667315012197E-5</v>
      </c>
      <c r="T10" s="22">
        <v>2.1545188030731911E-3</v>
      </c>
      <c r="U10" s="25">
        <v>2.8647822765469821E-4</v>
      </c>
      <c r="V10" s="22">
        <v>3.1507772967591106E-5</v>
      </c>
      <c r="W10" s="25">
        <v>0</v>
      </c>
    </row>
    <row r="11" spans="1:23" x14ac:dyDescent="0.2">
      <c r="A11" s="6" t="s">
        <v>564</v>
      </c>
      <c r="B11" s="19">
        <v>2.6442434819398171E-5</v>
      </c>
      <c r="C11" s="16">
        <v>0</v>
      </c>
      <c r="D11" s="19">
        <v>0</v>
      </c>
      <c r="E11" s="16">
        <v>0</v>
      </c>
      <c r="F11" s="19">
        <v>0</v>
      </c>
      <c r="G11" s="16">
        <v>4.3048524296587115E-5</v>
      </c>
      <c r="H11" s="22">
        <v>5.8736384579741169E-5</v>
      </c>
      <c r="I11" s="25">
        <v>0</v>
      </c>
      <c r="J11" s="22">
        <v>0</v>
      </c>
      <c r="K11" s="25">
        <v>0</v>
      </c>
      <c r="L11" s="22">
        <v>0</v>
      </c>
      <c r="M11" s="25">
        <v>0</v>
      </c>
      <c r="N11" s="19">
        <v>0</v>
      </c>
      <c r="O11" s="19">
        <v>0</v>
      </c>
      <c r="P11" s="16">
        <v>0</v>
      </c>
      <c r="Q11" s="19">
        <v>0</v>
      </c>
      <c r="R11" s="16">
        <v>0</v>
      </c>
      <c r="S11" s="25">
        <v>0</v>
      </c>
      <c r="T11" s="22">
        <v>0</v>
      </c>
      <c r="U11" s="25">
        <v>0</v>
      </c>
      <c r="V11" s="22">
        <v>0</v>
      </c>
      <c r="W11" s="25">
        <v>0</v>
      </c>
    </row>
    <row r="12" spans="1:23" x14ac:dyDescent="0.2">
      <c r="A12" s="6" t="s">
        <v>563</v>
      </c>
      <c r="B12" s="19">
        <v>0</v>
      </c>
      <c r="C12" s="16">
        <v>0</v>
      </c>
      <c r="D12" s="19">
        <v>0</v>
      </c>
      <c r="E12" s="16">
        <v>0</v>
      </c>
      <c r="F12" s="19">
        <v>0</v>
      </c>
      <c r="G12" s="16">
        <v>0</v>
      </c>
      <c r="H12" s="22">
        <v>6.5262649533045743E-5</v>
      </c>
      <c r="I12" s="25">
        <v>1.2878631774160313E-5</v>
      </c>
      <c r="J12" s="22">
        <v>0</v>
      </c>
      <c r="K12" s="25">
        <v>0</v>
      </c>
      <c r="L12" s="22">
        <v>0</v>
      </c>
      <c r="M12" s="25">
        <v>0</v>
      </c>
      <c r="N12" s="19">
        <v>0</v>
      </c>
      <c r="O12" s="19">
        <v>0</v>
      </c>
      <c r="P12" s="16">
        <v>0</v>
      </c>
      <c r="Q12" s="19">
        <v>0</v>
      </c>
      <c r="R12" s="16">
        <v>0</v>
      </c>
      <c r="S12" s="25">
        <v>0</v>
      </c>
      <c r="T12" s="22">
        <v>0</v>
      </c>
      <c r="U12" s="25">
        <v>0</v>
      </c>
      <c r="V12" s="22">
        <v>0</v>
      </c>
      <c r="W12" s="25">
        <v>0</v>
      </c>
    </row>
    <row r="13" spans="1:23" x14ac:dyDescent="0.2">
      <c r="A13" s="6" t="s">
        <v>562</v>
      </c>
      <c r="B13" s="19">
        <v>2.3566820032788611E-2</v>
      </c>
      <c r="C13" s="16">
        <v>1.0643749480623813E-2</v>
      </c>
      <c r="D13" s="19">
        <v>4.3922543968733366E-2</v>
      </c>
      <c r="E13" s="16">
        <v>2.081309649152599E-2</v>
      </c>
      <c r="F13" s="19">
        <v>3.0112071530474464E-2</v>
      </c>
      <c r="G13" s="16">
        <v>7.1116162137961894E-3</v>
      </c>
      <c r="H13" s="22">
        <v>9.306453823412322E-3</v>
      </c>
      <c r="I13" s="25">
        <v>4.8359262311971959E-3</v>
      </c>
      <c r="J13" s="22">
        <v>1.7950939874683366E-2</v>
      </c>
      <c r="K13" s="25">
        <v>5.4760181238102954E-3</v>
      </c>
      <c r="L13" s="22">
        <v>2.1167892187000457E-2</v>
      </c>
      <c r="M13" s="25">
        <v>2.1416694379780523E-2</v>
      </c>
      <c r="N13" s="19">
        <v>3.7406692445151005E-2</v>
      </c>
      <c r="O13" s="19">
        <v>1.2583534764680784E-2</v>
      </c>
      <c r="P13" s="16">
        <v>2.0964550380879712E-2</v>
      </c>
      <c r="Q13" s="19">
        <v>5.2977127758947395E-3</v>
      </c>
      <c r="R13" s="16">
        <v>8.8261757522958024E-3</v>
      </c>
      <c r="S13" s="25">
        <v>3.4392369273573897E-3</v>
      </c>
      <c r="T13" s="22">
        <v>1.1107460574201363E-2</v>
      </c>
      <c r="U13" s="25">
        <v>6.2133944486885678E-3</v>
      </c>
      <c r="V13" s="22">
        <v>2.3057388257683178E-2</v>
      </c>
      <c r="W13" s="25">
        <v>3.305172058520503E-3</v>
      </c>
    </row>
    <row r="14" spans="1:23" x14ac:dyDescent="0.2">
      <c r="A14" s="6" t="s">
        <v>561</v>
      </c>
      <c r="B14" s="19">
        <v>0</v>
      </c>
      <c r="C14" s="16">
        <v>0</v>
      </c>
      <c r="D14" s="19">
        <v>4.2636347486232012E-5</v>
      </c>
      <c r="E14" s="16">
        <v>0</v>
      </c>
      <c r="F14" s="19">
        <v>0</v>
      </c>
      <c r="G14" s="16">
        <v>0</v>
      </c>
      <c r="H14" s="22">
        <v>0</v>
      </c>
      <c r="I14" s="25">
        <v>0</v>
      </c>
      <c r="J14" s="22">
        <v>0</v>
      </c>
      <c r="K14" s="25">
        <v>2.6810370251213168E-5</v>
      </c>
      <c r="L14" s="22">
        <v>0</v>
      </c>
      <c r="M14" s="25">
        <v>5.3209178583305619E-5</v>
      </c>
      <c r="N14" s="19">
        <v>0</v>
      </c>
      <c r="O14" s="19">
        <v>0</v>
      </c>
      <c r="P14" s="16">
        <v>0</v>
      </c>
      <c r="Q14" s="19">
        <v>0</v>
      </c>
      <c r="R14" s="16">
        <v>0</v>
      </c>
      <c r="S14" s="25">
        <v>0</v>
      </c>
      <c r="T14" s="22">
        <v>1.8954710877476749E-4</v>
      </c>
      <c r="U14" s="25">
        <v>6.3661828367710715E-5</v>
      </c>
      <c r="V14" s="22">
        <v>0</v>
      </c>
      <c r="W14" s="25">
        <v>2.4726973006387802E-5</v>
      </c>
    </row>
    <row r="15" spans="1:23" x14ac:dyDescent="0.2">
      <c r="A15" s="6" t="s">
        <v>560</v>
      </c>
      <c r="B15" s="19">
        <v>0</v>
      </c>
      <c r="C15" s="16">
        <v>0</v>
      </c>
      <c r="D15" s="19">
        <v>0</v>
      </c>
      <c r="E15" s="16">
        <v>0</v>
      </c>
      <c r="F15" s="19">
        <v>0</v>
      </c>
      <c r="G15" s="16">
        <v>0</v>
      </c>
      <c r="H15" s="22">
        <v>0</v>
      </c>
      <c r="I15" s="25">
        <v>0</v>
      </c>
      <c r="J15" s="22">
        <v>4.666044527396347E-5</v>
      </c>
      <c r="K15" s="25">
        <v>9.3836295879246099E-5</v>
      </c>
      <c r="L15" s="22">
        <v>1.8444285960209527E-5</v>
      </c>
      <c r="M15" s="25">
        <v>0</v>
      </c>
      <c r="N15" s="19">
        <v>0</v>
      </c>
      <c r="O15" s="19">
        <v>0</v>
      </c>
      <c r="P15" s="16">
        <v>0</v>
      </c>
      <c r="Q15" s="19">
        <v>0</v>
      </c>
      <c r="R15" s="16">
        <v>0</v>
      </c>
      <c r="S15" s="25">
        <v>0</v>
      </c>
      <c r="T15" s="22">
        <v>3.7909421754953497E-5</v>
      </c>
      <c r="U15" s="25">
        <v>1.9098548510313215E-5</v>
      </c>
      <c r="V15" s="22">
        <v>0</v>
      </c>
      <c r="W15" s="25">
        <v>7.4180919019163407E-5</v>
      </c>
    </row>
    <row r="16" spans="1:23" x14ac:dyDescent="0.2">
      <c r="A16" s="6" t="s">
        <v>559</v>
      </c>
      <c r="B16" s="19">
        <v>0</v>
      </c>
      <c r="C16" s="16">
        <v>3.2547574859422175E-4</v>
      </c>
      <c r="D16" s="19">
        <v>0</v>
      </c>
      <c r="E16" s="16">
        <v>3.124681588153381E-4</v>
      </c>
      <c r="F16" s="19">
        <v>0</v>
      </c>
      <c r="G16" s="16">
        <v>2.6690085063884011E-4</v>
      </c>
      <c r="H16" s="22">
        <v>1.3052529906609149E-5</v>
      </c>
      <c r="I16" s="25">
        <v>6.439315887080157E-5</v>
      </c>
      <c r="J16" s="22">
        <v>6.5991201173176911E-4</v>
      </c>
      <c r="K16" s="25">
        <v>4.4907370170782062E-4</v>
      </c>
      <c r="L16" s="22">
        <v>7.9925239160907947E-5</v>
      </c>
      <c r="M16" s="25">
        <v>3.9906883937479216E-5</v>
      </c>
      <c r="N16" s="19">
        <v>0</v>
      </c>
      <c r="O16" s="19">
        <v>0</v>
      </c>
      <c r="P16" s="16">
        <v>1.0346477671007877E-4</v>
      </c>
      <c r="Q16" s="19">
        <v>8.0066188048786993E-4</v>
      </c>
      <c r="R16" s="16">
        <v>1.0282923206558219E-3</v>
      </c>
      <c r="S16" s="25">
        <v>1.3782709783791793E-3</v>
      </c>
      <c r="T16" s="22">
        <v>9.4773554387383733E-5</v>
      </c>
      <c r="U16" s="25">
        <v>3.7560478736949326E-4</v>
      </c>
      <c r="V16" s="22">
        <v>2.9617306589535639E-4</v>
      </c>
      <c r="W16" s="25">
        <v>8.6544405522357315E-4</v>
      </c>
    </row>
    <row r="17" spans="1:23" x14ac:dyDescent="0.2">
      <c r="A17" s="6" t="s">
        <v>558</v>
      </c>
      <c r="B17" s="19">
        <v>0</v>
      </c>
      <c r="C17" s="16">
        <v>0</v>
      </c>
      <c r="D17" s="19">
        <v>0</v>
      </c>
      <c r="E17" s="16">
        <v>0</v>
      </c>
      <c r="F17" s="19">
        <v>0</v>
      </c>
      <c r="G17" s="16">
        <v>0</v>
      </c>
      <c r="H17" s="22">
        <v>0</v>
      </c>
      <c r="I17" s="25">
        <v>0</v>
      </c>
      <c r="J17" s="22">
        <v>0</v>
      </c>
      <c r="K17" s="25">
        <v>0</v>
      </c>
      <c r="L17" s="22">
        <v>0</v>
      </c>
      <c r="M17" s="25">
        <v>0</v>
      </c>
      <c r="N17" s="19">
        <v>4.1835252774573728E-5</v>
      </c>
      <c r="O17" s="19">
        <v>0</v>
      </c>
      <c r="P17" s="16">
        <v>0</v>
      </c>
      <c r="Q17" s="19">
        <v>0</v>
      </c>
      <c r="R17" s="16">
        <v>0</v>
      </c>
      <c r="S17" s="25">
        <v>0</v>
      </c>
      <c r="T17" s="22">
        <v>1.2004650222401941E-4</v>
      </c>
      <c r="U17" s="25">
        <v>0</v>
      </c>
      <c r="V17" s="22">
        <v>0</v>
      </c>
      <c r="W17" s="25">
        <v>0</v>
      </c>
    </row>
    <row r="18" spans="1:23" x14ac:dyDescent="0.2">
      <c r="A18" s="6" t="s">
        <v>557</v>
      </c>
      <c r="B18" s="19">
        <v>3.6358347876672484E-4</v>
      </c>
      <c r="C18" s="16">
        <v>1.5650535996232793E-3</v>
      </c>
      <c r="D18" s="19">
        <v>0</v>
      </c>
      <c r="E18" s="16">
        <v>0</v>
      </c>
      <c r="F18" s="19">
        <v>0</v>
      </c>
      <c r="G18" s="16">
        <v>1.7219409718634846E-4</v>
      </c>
      <c r="H18" s="22">
        <v>4.2420722196479736E-4</v>
      </c>
      <c r="I18" s="25">
        <v>2.163610138058933E-3</v>
      </c>
      <c r="J18" s="22">
        <v>1.1065191307825623E-3</v>
      </c>
      <c r="K18" s="25">
        <v>4.5309525724550256E-3</v>
      </c>
      <c r="L18" s="22">
        <v>3.0924919459951301E-3</v>
      </c>
      <c r="M18" s="25">
        <v>2.8999002327901556E-3</v>
      </c>
      <c r="N18" s="19">
        <v>2.1515272855495061E-4</v>
      </c>
      <c r="O18" s="19">
        <v>0</v>
      </c>
      <c r="P18" s="16">
        <v>0</v>
      </c>
      <c r="Q18" s="19">
        <v>9.3410552723584826E-5</v>
      </c>
      <c r="R18" s="16">
        <v>6.426827004098888E-5</v>
      </c>
      <c r="S18" s="25">
        <v>4.2185396768147764E-3</v>
      </c>
      <c r="T18" s="22">
        <v>3.6140315406388997E-3</v>
      </c>
      <c r="U18" s="25">
        <v>9.8930481283422463E-3</v>
      </c>
      <c r="V18" s="22">
        <v>1.1846922635814256E-3</v>
      </c>
      <c r="W18" s="25">
        <v>6.0498660622295497E-3</v>
      </c>
    </row>
    <row r="19" spans="1:23" x14ac:dyDescent="0.2">
      <c r="A19" s="6" t="s">
        <v>556</v>
      </c>
      <c r="B19" s="19">
        <v>0</v>
      </c>
      <c r="C19" s="16">
        <v>0</v>
      </c>
      <c r="D19" s="19">
        <v>0</v>
      </c>
      <c r="E19" s="16">
        <v>2.7171144244812009E-5</v>
      </c>
      <c r="F19" s="19">
        <v>3.0516414016188958E-5</v>
      </c>
      <c r="G19" s="16">
        <v>5.1658229155904537E-5</v>
      </c>
      <c r="H19" s="22">
        <v>3.9157589719827446E-5</v>
      </c>
      <c r="I19" s="25">
        <v>0</v>
      </c>
      <c r="J19" s="22">
        <v>0</v>
      </c>
      <c r="K19" s="25">
        <v>0</v>
      </c>
      <c r="L19" s="22">
        <v>1.8444285960209527E-5</v>
      </c>
      <c r="M19" s="25">
        <v>0</v>
      </c>
      <c r="N19" s="19">
        <v>9.5623434913311381E-5</v>
      </c>
      <c r="O19" s="19">
        <v>0</v>
      </c>
      <c r="P19" s="16">
        <v>0</v>
      </c>
      <c r="Q19" s="19">
        <v>5.3377458699191329E-5</v>
      </c>
      <c r="R19" s="16">
        <v>3.5704594467216042E-5</v>
      </c>
      <c r="S19" s="25">
        <v>0</v>
      </c>
      <c r="T19" s="22">
        <v>8.8455317428224825E-5</v>
      </c>
      <c r="U19" s="25">
        <v>0</v>
      </c>
      <c r="V19" s="22">
        <v>0</v>
      </c>
      <c r="W19" s="25">
        <v>0</v>
      </c>
    </row>
    <row r="20" spans="1:23" x14ac:dyDescent="0.2">
      <c r="A20" s="6" t="s">
        <v>555</v>
      </c>
      <c r="B20" s="19">
        <v>3.9663652229097259E-5</v>
      </c>
      <c r="C20" s="16">
        <v>4.15500955652198E-5</v>
      </c>
      <c r="D20" s="19">
        <v>2.842423165748801E-5</v>
      </c>
      <c r="E20" s="16">
        <v>1.7661243759127806E-4</v>
      </c>
      <c r="F20" s="19">
        <v>0</v>
      </c>
      <c r="G20" s="16">
        <v>6.8877638874539383E-5</v>
      </c>
      <c r="H20" s="22">
        <v>5.2210119626436595E-5</v>
      </c>
      <c r="I20" s="25">
        <v>3.8635895322480941E-5</v>
      </c>
      <c r="J20" s="22">
        <v>1.3331555792560992E-5</v>
      </c>
      <c r="K20" s="25">
        <v>0</v>
      </c>
      <c r="L20" s="22">
        <v>2.33627622162654E-4</v>
      </c>
      <c r="M20" s="25">
        <v>1.3302294645826406E-4</v>
      </c>
      <c r="N20" s="19">
        <v>0</v>
      </c>
      <c r="O20" s="19">
        <v>9.4791222332811986E-5</v>
      </c>
      <c r="P20" s="16">
        <v>7.7598582532559067E-5</v>
      </c>
      <c r="Q20" s="19">
        <v>5.3377458699191329E-5</v>
      </c>
      <c r="R20" s="16">
        <v>1.1425470229509134E-4</v>
      </c>
      <c r="S20" s="25">
        <v>0</v>
      </c>
      <c r="T20" s="22">
        <v>2.716841892438334E-4</v>
      </c>
      <c r="U20" s="25">
        <v>9.5492742551566079E-5</v>
      </c>
      <c r="V20" s="22">
        <v>1.8904663780554662E-5</v>
      </c>
      <c r="W20" s="25">
        <v>2.4726973006387802E-5</v>
      </c>
    </row>
    <row r="21" spans="1:23" x14ac:dyDescent="0.2">
      <c r="A21" s="6" t="s">
        <v>554</v>
      </c>
      <c r="B21" s="19">
        <v>0</v>
      </c>
      <c r="C21" s="16">
        <v>0</v>
      </c>
      <c r="D21" s="19">
        <v>0</v>
      </c>
      <c r="E21" s="16">
        <v>0</v>
      </c>
      <c r="F21" s="19">
        <v>0</v>
      </c>
      <c r="G21" s="16">
        <v>0</v>
      </c>
      <c r="H21" s="22">
        <v>0</v>
      </c>
      <c r="I21" s="25">
        <v>0</v>
      </c>
      <c r="J21" s="22">
        <v>0</v>
      </c>
      <c r="K21" s="25">
        <v>0</v>
      </c>
      <c r="L21" s="22">
        <v>0</v>
      </c>
      <c r="M21" s="25">
        <v>0</v>
      </c>
      <c r="N21" s="19">
        <v>0</v>
      </c>
      <c r="O21" s="19">
        <v>0</v>
      </c>
      <c r="P21" s="16">
        <v>0</v>
      </c>
      <c r="Q21" s="19">
        <v>0</v>
      </c>
      <c r="R21" s="16">
        <v>0</v>
      </c>
      <c r="S21" s="25">
        <v>0</v>
      </c>
      <c r="T21" s="22">
        <v>4.4227658714112412E-5</v>
      </c>
      <c r="U21" s="25">
        <v>0</v>
      </c>
      <c r="V21" s="22">
        <v>0</v>
      </c>
      <c r="W21" s="25">
        <v>0</v>
      </c>
    </row>
    <row r="22" spans="1:23" x14ac:dyDescent="0.2">
      <c r="A22" s="6" t="s">
        <v>553</v>
      </c>
      <c r="B22" s="19">
        <v>3.9663652229097259E-5</v>
      </c>
      <c r="C22" s="16">
        <v>0</v>
      </c>
      <c r="D22" s="19">
        <v>7.8166637058092026E-5</v>
      </c>
      <c r="E22" s="16">
        <v>8.151343273443603E-5</v>
      </c>
      <c r="F22" s="19">
        <v>0</v>
      </c>
      <c r="G22" s="16">
        <v>5.1658229155904537E-5</v>
      </c>
      <c r="H22" s="22">
        <v>5.2210119626436595E-5</v>
      </c>
      <c r="I22" s="25">
        <v>3.2196579435400785E-5</v>
      </c>
      <c r="J22" s="22">
        <v>5.3326223170243967E-5</v>
      </c>
      <c r="K22" s="25">
        <v>2.0778036944690205E-4</v>
      </c>
      <c r="L22" s="22">
        <v>3.0740476600349214E-5</v>
      </c>
      <c r="M22" s="25">
        <v>5.9860325906218821E-5</v>
      </c>
      <c r="N22" s="19">
        <v>0</v>
      </c>
      <c r="O22" s="19">
        <v>0</v>
      </c>
      <c r="P22" s="16">
        <v>0</v>
      </c>
      <c r="Q22" s="19">
        <v>1.8682110544716965E-4</v>
      </c>
      <c r="R22" s="16">
        <v>1.7138205344263699E-4</v>
      </c>
      <c r="S22" s="25">
        <v>7.7286223086682934E-5</v>
      </c>
      <c r="T22" s="22">
        <v>5.7495956328346132E-4</v>
      </c>
      <c r="U22" s="25">
        <v>4.4563279857397503E-5</v>
      </c>
      <c r="V22" s="22">
        <v>4.4110882154627547E-5</v>
      </c>
      <c r="W22" s="25">
        <v>2.8848135174119102E-4</v>
      </c>
    </row>
    <row r="23" spans="1:23" x14ac:dyDescent="0.2">
      <c r="A23" s="6" t="s">
        <v>552</v>
      </c>
      <c r="B23" s="19">
        <v>2.5516949600719228E-2</v>
      </c>
      <c r="C23" s="16">
        <v>1.866984294063876E-2</v>
      </c>
      <c r="D23" s="19">
        <v>2.3066263990051517E-2</v>
      </c>
      <c r="E23" s="16">
        <v>2.3407940766905548E-2</v>
      </c>
      <c r="F23" s="19">
        <v>1.5639662183296838E-2</v>
      </c>
      <c r="G23" s="16">
        <v>3.0512794021420944E-2</v>
      </c>
      <c r="H23" s="22">
        <v>2.3814340814608394E-2</v>
      </c>
      <c r="I23" s="25">
        <v>9.2790541932825064E-3</v>
      </c>
      <c r="J23" s="22">
        <v>1.2338354886015198E-2</v>
      </c>
      <c r="K23" s="25">
        <v>3.8539907236118933E-3</v>
      </c>
      <c r="L23" s="22">
        <v>1.1902712539655219E-2</v>
      </c>
      <c r="M23" s="25">
        <v>8.3804456268706355E-3</v>
      </c>
      <c r="N23" s="19">
        <v>2.4174799639021534E-2</v>
      </c>
      <c r="O23" s="19">
        <v>1.8634374456925284E-2</v>
      </c>
      <c r="P23" s="16">
        <v>2.8556278371981735E-2</v>
      </c>
      <c r="Q23" s="19">
        <v>2.3752969121140145E-2</v>
      </c>
      <c r="R23" s="16">
        <v>2.6499950013567735E-2</v>
      </c>
      <c r="S23" s="25">
        <v>7.2777860073293121E-3</v>
      </c>
      <c r="T23" s="22">
        <v>7.9925697533360304E-3</v>
      </c>
      <c r="U23" s="25">
        <v>9.4665138782785863E-3</v>
      </c>
      <c r="V23" s="22">
        <v>1.7222148704085293E-2</v>
      </c>
      <c r="W23" s="25">
        <v>7.8054811456830841E-3</v>
      </c>
    </row>
    <row r="24" spans="1:23" x14ac:dyDescent="0.2">
      <c r="A24" s="6" t="s">
        <v>551</v>
      </c>
      <c r="B24" s="19">
        <v>0</v>
      </c>
      <c r="C24" s="16">
        <v>0</v>
      </c>
      <c r="D24" s="19">
        <v>0</v>
      </c>
      <c r="E24" s="16">
        <v>0</v>
      </c>
      <c r="F24" s="19">
        <v>0</v>
      </c>
      <c r="G24" s="16">
        <v>0</v>
      </c>
      <c r="H24" s="22">
        <v>0</v>
      </c>
      <c r="I24" s="25">
        <v>0</v>
      </c>
      <c r="J24" s="22">
        <v>4.666044527396347E-5</v>
      </c>
      <c r="K24" s="25">
        <v>0</v>
      </c>
      <c r="L24" s="22">
        <v>0</v>
      </c>
      <c r="M24" s="25">
        <v>0</v>
      </c>
      <c r="N24" s="19">
        <v>0</v>
      </c>
      <c r="O24" s="19">
        <v>4.7395611166405993E-4</v>
      </c>
      <c r="P24" s="16">
        <v>0</v>
      </c>
      <c r="Q24" s="19">
        <v>0</v>
      </c>
      <c r="R24" s="16">
        <v>0</v>
      </c>
      <c r="S24" s="25">
        <v>0</v>
      </c>
      <c r="T24" s="22">
        <v>0</v>
      </c>
      <c r="U24" s="25">
        <v>0</v>
      </c>
      <c r="V24" s="22">
        <v>0</v>
      </c>
      <c r="W24" s="25">
        <v>0</v>
      </c>
    </row>
    <row r="25" spans="1:23" x14ac:dyDescent="0.2">
      <c r="A25" s="6" t="s">
        <v>550</v>
      </c>
      <c r="B25" s="19">
        <v>3.3059654132952566E-2</v>
      </c>
      <c r="C25" s="16">
        <v>4.1328495055538622E-2</v>
      </c>
      <c r="D25" s="19">
        <v>1.9840113696926627E-2</v>
      </c>
      <c r="E25" s="16">
        <v>2.3251706687497879E-2</v>
      </c>
      <c r="F25" s="19">
        <v>2.9303386559045456E-2</v>
      </c>
      <c r="G25" s="16">
        <v>1.7098873850604403E-2</v>
      </c>
      <c r="H25" s="22">
        <v>1.1975696189313895E-2</v>
      </c>
      <c r="I25" s="25">
        <v>3.4231403255718093E-2</v>
      </c>
      <c r="J25" s="22">
        <v>3.6195173976803094E-2</v>
      </c>
      <c r="K25" s="25">
        <v>3.0771602455829918E-2</v>
      </c>
      <c r="L25" s="22">
        <v>1.6212527359024176E-2</v>
      </c>
      <c r="M25" s="25">
        <v>1.5151313601596274E-2</v>
      </c>
      <c r="N25" s="19">
        <v>3.7956527195902534E-2</v>
      </c>
      <c r="O25" s="19">
        <v>1.9187323253866694E-2</v>
      </c>
      <c r="P25" s="16">
        <v>2.4482352789022398E-2</v>
      </c>
      <c r="Q25" s="19">
        <v>2.6955616643091623E-2</v>
      </c>
      <c r="R25" s="16">
        <v>2.8899298761764655E-2</v>
      </c>
      <c r="S25" s="25">
        <v>3.0109424410853569E-2</v>
      </c>
      <c r="T25" s="22">
        <v>2.2044328750505437E-2</v>
      </c>
      <c r="U25" s="25">
        <v>1.914311179017061E-2</v>
      </c>
      <c r="V25" s="22">
        <v>2.5968706479888588E-2</v>
      </c>
      <c r="W25" s="25">
        <v>3.552441788584379E-2</v>
      </c>
    </row>
    <row r="26" spans="1:23" x14ac:dyDescent="0.2">
      <c r="A26" s="6" t="s">
        <v>549</v>
      </c>
      <c r="B26" s="19">
        <v>1.2295732191020148E-3</v>
      </c>
      <c r="C26" s="16">
        <v>4.1550095565219802E-4</v>
      </c>
      <c r="D26" s="19">
        <v>4.3346953277669214E-4</v>
      </c>
      <c r="E26" s="16">
        <v>5.7738681520225514E-4</v>
      </c>
      <c r="F26" s="19">
        <v>5.7981186630759029E-4</v>
      </c>
      <c r="G26" s="16">
        <v>3.5299789923201434E-4</v>
      </c>
      <c r="H26" s="22">
        <v>1.4357782897270064E-4</v>
      </c>
      <c r="I26" s="25">
        <v>1.2878631774160314E-4</v>
      </c>
      <c r="J26" s="22">
        <v>2.6663111585121987E-4</v>
      </c>
      <c r="K26" s="25">
        <v>2.6810370251213168E-5</v>
      </c>
      <c r="L26" s="22">
        <v>2.9510857536335243E-4</v>
      </c>
      <c r="M26" s="25">
        <v>0</v>
      </c>
      <c r="N26" s="19">
        <v>3.2870555751450791E-4</v>
      </c>
      <c r="O26" s="19">
        <v>3.4756781522031065E-4</v>
      </c>
      <c r="P26" s="16">
        <v>4.0739255829593505E-4</v>
      </c>
      <c r="Q26" s="19">
        <v>4.8039712829272196E-4</v>
      </c>
      <c r="R26" s="16">
        <v>5.9269626815578629E-4</v>
      </c>
      <c r="S26" s="25">
        <v>2.5762074362227646E-4</v>
      </c>
      <c r="T26" s="22">
        <v>1.8954710877476749E-5</v>
      </c>
      <c r="U26" s="25">
        <v>0</v>
      </c>
      <c r="V26" s="22">
        <v>5.0412436748145764E-5</v>
      </c>
      <c r="W26" s="25">
        <v>1.1539254069647641E-4</v>
      </c>
    </row>
    <row r="27" spans="1:23" x14ac:dyDescent="0.2">
      <c r="A27" s="6" t="s">
        <v>548</v>
      </c>
      <c r="B27" s="19">
        <v>2.9747739171822945E-4</v>
      </c>
      <c r="C27" s="16">
        <v>0</v>
      </c>
      <c r="D27" s="19">
        <v>4.2636347486232012E-5</v>
      </c>
      <c r="E27" s="16">
        <v>2.9208980063172909E-4</v>
      </c>
      <c r="F27" s="19">
        <v>2.7464772614570063E-4</v>
      </c>
      <c r="G27" s="16">
        <v>5.1658229155904537E-5</v>
      </c>
      <c r="H27" s="22">
        <v>7.9620432430315801E-4</v>
      </c>
      <c r="I27" s="25">
        <v>1.2878631774160314E-4</v>
      </c>
      <c r="J27" s="22">
        <v>3.466204506065858E-4</v>
      </c>
      <c r="K27" s="25">
        <v>6.7025925628032924E-5</v>
      </c>
      <c r="L27" s="22">
        <v>3.8733000516440012E-4</v>
      </c>
      <c r="M27" s="25">
        <v>4.9883604921849018E-4</v>
      </c>
      <c r="N27" s="19">
        <v>5.3788182138737653E-5</v>
      </c>
      <c r="O27" s="19">
        <v>2.0538098172109262E-4</v>
      </c>
      <c r="P27" s="16">
        <v>1.0346477671007877E-4</v>
      </c>
      <c r="Q27" s="19">
        <v>3.4695348154474364E-4</v>
      </c>
      <c r="R27" s="16">
        <v>1.8566389122952342E-4</v>
      </c>
      <c r="S27" s="25">
        <v>1.8033452053559354E-4</v>
      </c>
      <c r="T27" s="22">
        <v>7.0132430246663965E-4</v>
      </c>
      <c r="U27" s="25">
        <v>9.5492742551566079E-5</v>
      </c>
      <c r="V27" s="22">
        <v>3.1507772967591103E-4</v>
      </c>
      <c r="W27" s="25">
        <v>0</v>
      </c>
    </row>
    <row r="28" spans="1:23" x14ac:dyDescent="0.2">
      <c r="A28" s="6" t="s">
        <v>547</v>
      </c>
      <c r="B28" s="19">
        <v>0</v>
      </c>
      <c r="C28" s="16">
        <v>0</v>
      </c>
      <c r="D28" s="19">
        <v>0</v>
      </c>
      <c r="E28" s="16">
        <v>0</v>
      </c>
      <c r="F28" s="19">
        <v>0</v>
      </c>
      <c r="G28" s="16">
        <v>0</v>
      </c>
      <c r="H28" s="22">
        <v>2.6105059813218297E-5</v>
      </c>
      <c r="I28" s="25">
        <v>0</v>
      </c>
      <c r="J28" s="22">
        <v>0</v>
      </c>
      <c r="K28" s="25">
        <v>0</v>
      </c>
      <c r="L28" s="22">
        <v>0</v>
      </c>
      <c r="M28" s="25">
        <v>0</v>
      </c>
      <c r="N28" s="19">
        <v>0</v>
      </c>
      <c r="O28" s="19">
        <v>0</v>
      </c>
      <c r="P28" s="16">
        <v>0</v>
      </c>
      <c r="Q28" s="19">
        <v>0</v>
      </c>
      <c r="R28" s="16">
        <v>0</v>
      </c>
      <c r="S28" s="25">
        <v>0</v>
      </c>
      <c r="T28" s="22">
        <v>0</v>
      </c>
      <c r="U28" s="25">
        <v>0</v>
      </c>
      <c r="V28" s="22">
        <v>0</v>
      </c>
      <c r="W28" s="25">
        <v>0</v>
      </c>
    </row>
    <row r="29" spans="1:23" x14ac:dyDescent="0.2">
      <c r="A29" s="6" t="s">
        <v>546</v>
      </c>
      <c r="B29" s="19">
        <v>0</v>
      </c>
      <c r="C29" s="16">
        <v>0</v>
      </c>
      <c r="D29" s="19">
        <v>0</v>
      </c>
      <c r="E29" s="16">
        <v>0</v>
      </c>
      <c r="F29" s="19">
        <v>0</v>
      </c>
      <c r="G29" s="16">
        <v>0</v>
      </c>
      <c r="H29" s="22">
        <v>0</v>
      </c>
      <c r="I29" s="25">
        <v>0</v>
      </c>
      <c r="J29" s="22">
        <v>0</v>
      </c>
      <c r="K29" s="25">
        <v>0</v>
      </c>
      <c r="L29" s="22">
        <v>0</v>
      </c>
      <c r="M29" s="25">
        <v>0</v>
      </c>
      <c r="N29" s="19">
        <v>0</v>
      </c>
      <c r="O29" s="19">
        <v>0</v>
      </c>
      <c r="P29" s="16">
        <v>0</v>
      </c>
      <c r="Q29" s="19">
        <v>0</v>
      </c>
      <c r="R29" s="16">
        <v>0</v>
      </c>
      <c r="S29" s="25">
        <v>0</v>
      </c>
      <c r="T29" s="22">
        <v>1.137282652648605E-4</v>
      </c>
      <c r="U29" s="25">
        <v>0</v>
      </c>
      <c r="V29" s="22">
        <v>0</v>
      </c>
      <c r="W29" s="25">
        <v>0</v>
      </c>
    </row>
    <row r="30" spans="1:23" x14ac:dyDescent="0.2">
      <c r="A30" s="6" t="s">
        <v>545</v>
      </c>
      <c r="B30" s="19">
        <v>1.1899095668729176E-3</v>
      </c>
      <c r="C30" s="16">
        <v>1.301902994376887E-3</v>
      </c>
      <c r="D30" s="19">
        <v>2.8992716290637769E-3</v>
      </c>
      <c r="E30" s="16">
        <v>8.9664776007879633E-4</v>
      </c>
      <c r="F30" s="19">
        <v>2.7617354684651005E-3</v>
      </c>
      <c r="G30" s="16">
        <v>3.0994937493542722E-4</v>
      </c>
      <c r="H30" s="22">
        <v>1.5663035887930978E-3</v>
      </c>
      <c r="I30" s="25">
        <v>1.3071811250772718E-3</v>
      </c>
      <c r="J30" s="22">
        <v>1.3731502466337823E-3</v>
      </c>
      <c r="K30" s="25">
        <v>2.2185581382878896E-3</v>
      </c>
      <c r="L30" s="22">
        <v>2.9510857536335243E-4</v>
      </c>
      <c r="M30" s="25">
        <v>4.3897572331227133E-4</v>
      </c>
      <c r="N30" s="19">
        <v>1.0339283900001792E-3</v>
      </c>
      <c r="O30" s="19">
        <v>9.1631514921718257E-4</v>
      </c>
      <c r="P30" s="16">
        <v>4.461918495622146E-4</v>
      </c>
      <c r="Q30" s="19">
        <v>6.6721823373989161E-4</v>
      </c>
      <c r="R30" s="16">
        <v>3.7846870135249005E-4</v>
      </c>
      <c r="S30" s="25">
        <v>9.9828038153632124E-4</v>
      </c>
      <c r="T30" s="22">
        <v>2.716841892438334E-4</v>
      </c>
      <c r="U30" s="25">
        <v>1.0440539852304559E-3</v>
      </c>
      <c r="V30" s="22">
        <v>9.5153474362125135E-4</v>
      </c>
      <c r="W30" s="25">
        <v>1.401195137028642E-3</v>
      </c>
    </row>
    <row r="31" spans="1:23" x14ac:dyDescent="0.2">
      <c r="A31" s="6" t="s">
        <v>544</v>
      </c>
      <c r="B31" s="19">
        <v>0</v>
      </c>
      <c r="C31" s="16">
        <v>0</v>
      </c>
      <c r="D31" s="19">
        <v>0</v>
      </c>
      <c r="E31" s="16">
        <v>0</v>
      </c>
      <c r="F31" s="19">
        <v>0</v>
      </c>
      <c r="G31" s="16">
        <v>0</v>
      </c>
      <c r="H31" s="22">
        <v>0</v>
      </c>
      <c r="I31" s="25">
        <v>6.4393158870801565E-6</v>
      </c>
      <c r="J31" s="22">
        <v>0</v>
      </c>
      <c r="K31" s="25">
        <v>0</v>
      </c>
      <c r="L31" s="22">
        <v>0</v>
      </c>
      <c r="M31" s="25">
        <v>0</v>
      </c>
      <c r="N31" s="19">
        <v>0</v>
      </c>
      <c r="O31" s="19">
        <v>0</v>
      </c>
      <c r="P31" s="16">
        <v>0</v>
      </c>
      <c r="Q31" s="19">
        <v>0</v>
      </c>
      <c r="R31" s="16">
        <v>0</v>
      </c>
      <c r="S31" s="25">
        <v>0</v>
      </c>
      <c r="T31" s="22">
        <v>0</v>
      </c>
      <c r="U31" s="25">
        <v>1.9098548510313215E-5</v>
      </c>
      <c r="V31" s="22">
        <v>0</v>
      </c>
      <c r="W31" s="25">
        <v>0</v>
      </c>
    </row>
    <row r="32" spans="1:23" x14ac:dyDescent="0.2">
      <c r="A32" s="6" t="s">
        <v>543</v>
      </c>
      <c r="B32" s="19">
        <v>0</v>
      </c>
      <c r="C32" s="16">
        <v>0</v>
      </c>
      <c r="D32" s="19">
        <v>0</v>
      </c>
      <c r="E32" s="16">
        <v>0</v>
      </c>
      <c r="F32" s="19">
        <v>0</v>
      </c>
      <c r="G32" s="16">
        <v>0</v>
      </c>
      <c r="H32" s="22">
        <v>2.6105059813218297E-5</v>
      </c>
      <c r="I32" s="25">
        <v>0</v>
      </c>
      <c r="J32" s="22">
        <v>0</v>
      </c>
      <c r="K32" s="25">
        <v>0</v>
      </c>
      <c r="L32" s="22">
        <v>0</v>
      </c>
      <c r="M32" s="25">
        <v>0</v>
      </c>
      <c r="N32" s="19">
        <v>0</v>
      </c>
      <c r="O32" s="19">
        <v>0</v>
      </c>
      <c r="P32" s="16">
        <v>0</v>
      </c>
      <c r="Q32" s="19">
        <v>0</v>
      </c>
      <c r="R32" s="16">
        <v>0</v>
      </c>
      <c r="S32" s="25">
        <v>0</v>
      </c>
      <c r="T32" s="22">
        <v>0</v>
      </c>
      <c r="U32" s="25">
        <v>0</v>
      </c>
      <c r="V32" s="22">
        <v>0</v>
      </c>
      <c r="W32" s="25">
        <v>0</v>
      </c>
    </row>
    <row r="33" spans="1:23" x14ac:dyDescent="0.2">
      <c r="A33" s="6" t="s">
        <v>542</v>
      </c>
      <c r="B33" s="19">
        <v>1.4543339150668996E-4</v>
      </c>
      <c r="C33" s="16">
        <v>3.1855073266668515E-4</v>
      </c>
      <c r="D33" s="19">
        <v>1.6343933203055605E-4</v>
      </c>
      <c r="E33" s="16">
        <v>9.8495397887443529E-4</v>
      </c>
      <c r="F33" s="19">
        <v>5.8744096981163741E-4</v>
      </c>
      <c r="G33" s="16">
        <v>5.251919964183628E-4</v>
      </c>
      <c r="H33" s="22">
        <v>1.1747276915948234E-4</v>
      </c>
      <c r="I33" s="25">
        <v>2.8332989903152687E-4</v>
      </c>
      <c r="J33" s="22">
        <v>9.332089054792694E-5</v>
      </c>
      <c r="K33" s="25">
        <v>4.8928925708464032E-4</v>
      </c>
      <c r="L33" s="22">
        <v>1.16813811081327E-4</v>
      </c>
      <c r="M33" s="25">
        <v>6.6511473229132029E-5</v>
      </c>
      <c r="N33" s="19">
        <v>5.3190535670529459E-4</v>
      </c>
      <c r="O33" s="19">
        <v>0</v>
      </c>
      <c r="P33" s="16">
        <v>7.2425343697055133E-4</v>
      </c>
      <c r="Q33" s="19">
        <v>2.1484427126424507E-3</v>
      </c>
      <c r="R33" s="16">
        <v>4.6701609563118574E-3</v>
      </c>
      <c r="S33" s="25">
        <v>3.2202592952784563E-4</v>
      </c>
      <c r="T33" s="22">
        <v>1.7059239789729075E-4</v>
      </c>
      <c r="U33" s="25">
        <v>5.0929462694168572E-4</v>
      </c>
      <c r="V33" s="22">
        <v>1.197295372768462E-4</v>
      </c>
      <c r="W33" s="25">
        <v>1.195137028642077E-3</v>
      </c>
    </row>
    <row r="34" spans="1:23" x14ac:dyDescent="0.2">
      <c r="A34" s="6" t="s">
        <v>541</v>
      </c>
      <c r="B34" s="19">
        <v>0</v>
      </c>
      <c r="C34" s="16">
        <v>0</v>
      </c>
      <c r="D34" s="19">
        <v>0</v>
      </c>
      <c r="E34" s="16">
        <v>0</v>
      </c>
      <c r="F34" s="19">
        <v>0</v>
      </c>
      <c r="G34" s="16">
        <v>6.026793401522196E-5</v>
      </c>
      <c r="H34" s="22">
        <v>2.284192733656601E-4</v>
      </c>
      <c r="I34" s="25">
        <v>0</v>
      </c>
      <c r="J34" s="22">
        <v>0</v>
      </c>
      <c r="K34" s="25">
        <v>2.6810370251213168E-5</v>
      </c>
      <c r="L34" s="22">
        <v>6.1480953200698425E-6</v>
      </c>
      <c r="M34" s="25">
        <v>0</v>
      </c>
      <c r="N34" s="19">
        <v>5.9764646820819615E-5</v>
      </c>
      <c r="O34" s="19">
        <v>0</v>
      </c>
      <c r="P34" s="16">
        <v>0</v>
      </c>
      <c r="Q34" s="19">
        <v>2.1350983479676532E-4</v>
      </c>
      <c r="R34" s="16">
        <v>1.4281837786886417E-5</v>
      </c>
      <c r="S34" s="25">
        <v>2.5762074362227647E-5</v>
      </c>
      <c r="T34" s="22">
        <v>6.3182369591589164E-5</v>
      </c>
      <c r="U34" s="25">
        <v>0</v>
      </c>
      <c r="V34" s="22">
        <v>0</v>
      </c>
      <c r="W34" s="25">
        <v>0</v>
      </c>
    </row>
    <row r="35" spans="1:23" x14ac:dyDescent="0.2">
      <c r="A35" s="6" t="s">
        <v>540</v>
      </c>
      <c r="B35" s="19">
        <v>7.3377756623829911E-4</v>
      </c>
      <c r="C35" s="16">
        <v>6.9250159275366336E-5</v>
      </c>
      <c r="D35" s="19">
        <v>5.3295434357790016E-4</v>
      </c>
      <c r="E35" s="16">
        <v>8.151343273443603E-5</v>
      </c>
      <c r="F35" s="19">
        <v>1.2282856641516054E-3</v>
      </c>
      <c r="G35" s="16">
        <v>9.4706753452491652E-5</v>
      </c>
      <c r="H35" s="22">
        <v>6.5262649533045743E-4</v>
      </c>
      <c r="I35" s="25">
        <v>0</v>
      </c>
      <c r="J35" s="22">
        <v>8.3322223703506193E-4</v>
      </c>
      <c r="K35" s="25">
        <v>2.6140110994932842E-4</v>
      </c>
      <c r="L35" s="22">
        <v>6.2095762732705412E-4</v>
      </c>
      <c r="M35" s="25">
        <v>4.7888260724975067E-4</v>
      </c>
      <c r="N35" s="19">
        <v>5.3369829610991921E-3</v>
      </c>
      <c r="O35" s="19">
        <v>6.635385563296839E-4</v>
      </c>
      <c r="P35" s="16">
        <v>4.5265839810659458E-5</v>
      </c>
      <c r="Q35" s="19">
        <v>2.5354292882115881E-4</v>
      </c>
      <c r="R35" s="16">
        <v>1.2853654008197773E-4</v>
      </c>
      <c r="S35" s="25">
        <v>1.8033452053559351E-4</v>
      </c>
      <c r="T35" s="22">
        <v>4.1068540234532957E-4</v>
      </c>
      <c r="U35" s="25">
        <v>1.846193022663611E-4</v>
      </c>
      <c r="V35" s="22">
        <v>5.5453680422960338E-4</v>
      </c>
      <c r="W35" s="25">
        <v>9.0665567690088609E-5</v>
      </c>
    </row>
    <row r="36" spans="1:23" x14ac:dyDescent="0.2">
      <c r="A36" s="6" t="s">
        <v>539</v>
      </c>
      <c r="B36" s="19">
        <v>0</v>
      </c>
      <c r="C36" s="16">
        <v>0</v>
      </c>
      <c r="D36" s="19">
        <v>4.2636347486232012E-5</v>
      </c>
      <c r="E36" s="16">
        <v>3.396393030601501E-5</v>
      </c>
      <c r="F36" s="19">
        <v>0</v>
      </c>
      <c r="G36" s="16">
        <v>0</v>
      </c>
      <c r="H36" s="22">
        <v>1.2399903411278691E-4</v>
      </c>
      <c r="I36" s="25">
        <v>3.2196579435400785E-5</v>
      </c>
      <c r="J36" s="22">
        <v>0</v>
      </c>
      <c r="K36" s="25">
        <v>4.691814793962305E-5</v>
      </c>
      <c r="L36" s="22">
        <v>1.4755428768167621E-4</v>
      </c>
      <c r="M36" s="25">
        <v>3.3255736614566016E-4</v>
      </c>
      <c r="N36" s="19">
        <v>6.5741111502901577E-5</v>
      </c>
      <c r="O36" s="19">
        <v>3.9496342638671656E-5</v>
      </c>
      <c r="P36" s="16">
        <v>1.2933097088759846E-5</v>
      </c>
      <c r="Q36" s="19">
        <v>5.3377458699191329E-5</v>
      </c>
      <c r="R36" s="16">
        <v>1.0711378340164812E-4</v>
      </c>
      <c r="S36" s="25">
        <v>0</v>
      </c>
      <c r="T36" s="22">
        <v>1.3268297614233725E-4</v>
      </c>
      <c r="U36" s="25">
        <v>1.7188693659281893E-4</v>
      </c>
      <c r="V36" s="22">
        <v>0</v>
      </c>
      <c r="W36" s="25">
        <v>1.8133113538017722E-4</v>
      </c>
    </row>
    <row r="37" spans="1:23" x14ac:dyDescent="0.2">
      <c r="A37" s="6" t="s">
        <v>538</v>
      </c>
      <c r="B37" s="19">
        <v>1.9831826114548629E-5</v>
      </c>
      <c r="C37" s="16">
        <v>0</v>
      </c>
      <c r="D37" s="19">
        <v>2.7713625866050809E-4</v>
      </c>
      <c r="E37" s="16">
        <v>2.0378358183609007E-5</v>
      </c>
      <c r="F37" s="19">
        <v>3.8145517520236195E-4</v>
      </c>
      <c r="G37" s="16">
        <v>0</v>
      </c>
      <c r="H37" s="22">
        <v>1.1094650420617776E-4</v>
      </c>
      <c r="I37" s="25">
        <v>0</v>
      </c>
      <c r="J37" s="22">
        <v>0</v>
      </c>
      <c r="K37" s="25">
        <v>0</v>
      </c>
      <c r="L37" s="22">
        <v>1.5370238300174607E-4</v>
      </c>
      <c r="M37" s="25">
        <v>1.2637179913535084E-4</v>
      </c>
      <c r="N37" s="19">
        <v>0</v>
      </c>
      <c r="O37" s="19">
        <v>3.1597074110937326E-5</v>
      </c>
      <c r="P37" s="16">
        <v>1.5519716506511813E-4</v>
      </c>
      <c r="Q37" s="19">
        <v>0</v>
      </c>
      <c r="R37" s="16">
        <v>0</v>
      </c>
      <c r="S37" s="25">
        <v>0</v>
      </c>
      <c r="T37" s="22">
        <v>1.2636473918317832E-5</v>
      </c>
      <c r="U37" s="25">
        <v>0</v>
      </c>
      <c r="V37" s="22">
        <v>6.3015545935182212E-5</v>
      </c>
      <c r="W37" s="25">
        <v>0</v>
      </c>
    </row>
    <row r="38" spans="1:23" x14ac:dyDescent="0.2">
      <c r="A38" s="6" t="s">
        <v>537</v>
      </c>
      <c r="B38" s="19">
        <v>0</v>
      </c>
      <c r="C38" s="16">
        <v>0</v>
      </c>
      <c r="D38" s="19">
        <v>0</v>
      </c>
      <c r="E38" s="16">
        <v>0</v>
      </c>
      <c r="F38" s="19">
        <v>0</v>
      </c>
      <c r="G38" s="16">
        <v>0</v>
      </c>
      <c r="H38" s="22">
        <v>0</v>
      </c>
      <c r="I38" s="25">
        <v>0</v>
      </c>
      <c r="J38" s="22">
        <v>0</v>
      </c>
      <c r="K38" s="25">
        <v>0</v>
      </c>
      <c r="L38" s="22">
        <v>0</v>
      </c>
      <c r="M38" s="25">
        <v>0</v>
      </c>
      <c r="N38" s="19">
        <v>0</v>
      </c>
      <c r="O38" s="19">
        <v>0</v>
      </c>
      <c r="P38" s="16">
        <v>0</v>
      </c>
      <c r="Q38" s="19">
        <v>9.3410552723584826E-5</v>
      </c>
      <c r="R38" s="16">
        <v>0</v>
      </c>
      <c r="S38" s="25">
        <v>0</v>
      </c>
      <c r="T38" s="22">
        <v>8.8455317428224825E-5</v>
      </c>
      <c r="U38" s="25">
        <v>0</v>
      </c>
      <c r="V38" s="22">
        <v>0</v>
      </c>
      <c r="W38" s="25">
        <v>0</v>
      </c>
    </row>
    <row r="39" spans="1:23" x14ac:dyDescent="0.2">
      <c r="A39" s="6" t="s">
        <v>536</v>
      </c>
      <c r="B39" s="19">
        <v>1.1766883494632185E-3</v>
      </c>
      <c r="C39" s="16">
        <v>2.0775047782609898E-4</v>
      </c>
      <c r="D39" s="19">
        <v>4.5691952389411974E-3</v>
      </c>
      <c r="E39" s="16">
        <v>8.6947661583398428E-4</v>
      </c>
      <c r="F39" s="19">
        <v>2.143778084637274E-3</v>
      </c>
      <c r="G39" s="16">
        <v>4.9075317698109311E-4</v>
      </c>
      <c r="H39" s="22">
        <v>2.5452433317887837E-4</v>
      </c>
      <c r="I39" s="25">
        <v>1.030290541932825E-4</v>
      </c>
      <c r="J39" s="22">
        <v>3.5328622850286628E-4</v>
      </c>
      <c r="K39" s="25">
        <v>0</v>
      </c>
      <c r="L39" s="22">
        <v>2.3670166982268891E-3</v>
      </c>
      <c r="M39" s="25">
        <v>1.6827402726970401E-3</v>
      </c>
      <c r="N39" s="19">
        <v>1.380563341560933E-3</v>
      </c>
      <c r="O39" s="19">
        <v>8.8471807510624506E-4</v>
      </c>
      <c r="P39" s="16">
        <v>1.6748360729943999E-3</v>
      </c>
      <c r="Q39" s="19">
        <v>1.3210921028049853E-3</v>
      </c>
      <c r="R39" s="16">
        <v>7.6407832159842331E-4</v>
      </c>
      <c r="S39" s="25">
        <v>8.3726741677239851E-5</v>
      </c>
      <c r="T39" s="22">
        <v>2.9695713708046908E-4</v>
      </c>
      <c r="U39" s="25">
        <v>1.7825311942959001E-4</v>
      </c>
      <c r="V39" s="22">
        <v>5.7974302260367639E-4</v>
      </c>
      <c r="W39" s="25">
        <v>8.2423243354626008E-6</v>
      </c>
    </row>
    <row r="40" spans="1:23" x14ac:dyDescent="0.2">
      <c r="A40" s="6" t="s">
        <v>535</v>
      </c>
      <c r="B40" s="19">
        <v>0</v>
      </c>
      <c r="C40" s="16">
        <v>0</v>
      </c>
      <c r="D40" s="19">
        <v>0</v>
      </c>
      <c r="E40" s="16">
        <v>0</v>
      </c>
      <c r="F40" s="19">
        <v>0</v>
      </c>
      <c r="G40" s="16">
        <v>0</v>
      </c>
      <c r="H40" s="22">
        <v>0</v>
      </c>
      <c r="I40" s="25">
        <v>0</v>
      </c>
      <c r="J40" s="22">
        <v>0</v>
      </c>
      <c r="K40" s="25">
        <v>0</v>
      </c>
      <c r="L40" s="22">
        <v>0</v>
      </c>
      <c r="M40" s="25">
        <v>0</v>
      </c>
      <c r="N40" s="19">
        <v>0</v>
      </c>
      <c r="O40" s="19">
        <v>0</v>
      </c>
      <c r="P40" s="16">
        <v>0</v>
      </c>
      <c r="Q40" s="19">
        <v>0</v>
      </c>
      <c r="R40" s="16">
        <v>2.8563675573772835E-5</v>
      </c>
      <c r="S40" s="25">
        <v>0</v>
      </c>
      <c r="T40" s="22">
        <v>0</v>
      </c>
      <c r="U40" s="25">
        <v>0</v>
      </c>
      <c r="V40" s="22">
        <v>0</v>
      </c>
      <c r="W40" s="25">
        <v>0</v>
      </c>
    </row>
    <row r="41" spans="1:23" x14ac:dyDescent="0.2">
      <c r="A41" s="6" t="s">
        <v>534</v>
      </c>
      <c r="B41" s="19">
        <v>1.1066158971918129E-2</v>
      </c>
      <c r="C41" s="16">
        <v>1.0581424337275982E-2</v>
      </c>
      <c r="D41" s="19">
        <v>4.3346953277669216E-3</v>
      </c>
      <c r="E41" s="16">
        <v>1.0331827599089771E-2</v>
      </c>
      <c r="F41" s="19">
        <v>1.2183678295963445E-2</v>
      </c>
      <c r="G41" s="16">
        <v>1.6969728277714629E-2</v>
      </c>
      <c r="H41" s="22">
        <v>6.1151102612463856E-3</v>
      </c>
      <c r="I41" s="25">
        <v>1.075365753142386E-2</v>
      </c>
      <c r="J41" s="22">
        <v>5.2726303159578731E-3</v>
      </c>
      <c r="K41" s="25">
        <v>6.5216225636076054E-3</v>
      </c>
      <c r="L41" s="22">
        <v>6.7752010427169669E-3</v>
      </c>
      <c r="M41" s="25">
        <v>6.2254738942467578E-3</v>
      </c>
      <c r="N41" s="19">
        <v>1.6781912827286156E-2</v>
      </c>
      <c r="O41" s="19">
        <v>1.3713130164146801E-2</v>
      </c>
      <c r="P41" s="16">
        <v>8.8462384087117339E-3</v>
      </c>
      <c r="Q41" s="19">
        <v>1.1529531079025325E-2</v>
      </c>
      <c r="R41" s="16">
        <v>1.1361201959468142E-2</v>
      </c>
      <c r="S41" s="25">
        <v>3.4070343344046053E-3</v>
      </c>
      <c r="T41" s="22">
        <v>1.0545137484836228E-2</v>
      </c>
      <c r="U41" s="25">
        <v>1.0822510822510824E-2</v>
      </c>
      <c r="V41" s="22">
        <v>4.2913586781859097E-3</v>
      </c>
      <c r="W41" s="25">
        <v>2.5468782196579427E-3</v>
      </c>
    </row>
    <row r="42" spans="1:23" x14ac:dyDescent="0.2">
      <c r="A42" s="6" t="s">
        <v>533</v>
      </c>
      <c r="B42" s="19">
        <v>4.8918504415886618E-4</v>
      </c>
      <c r="C42" s="16">
        <v>1.2465028669565939E-4</v>
      </c>
      <c r="D42" s="19">
        <v>4.2636347486232017E-4</v>
      </c>
      <c r="E42" s="16">
        <v>1.7661243759127806E-4</v>
      </c>
      <c r="F42" s="19">
        <v>6.6373200485210981E-4</v>
      </c>
      <c r="G42" s="16">
        <v>4.7353376726245826E-4</v>
      </c>
      <c r="H42" s="22">
        <v>7.1788914486350318E-5</v>
      </c>
      <c r="I42" s="25">
        <v>4.5075211209561096E-5</v>
      </c>
      <c r="J42" s="22">
        <v>7.3323556859085457E-5</v>
      </c>
      <c r="K42" s="25">
        <v>0</v>
      </c>
      <c r="L42" s="22">
        <v>1.8444285960209528E-4</v>
      </c>
      <c r="M42" s="25">
        <v>1.4632524110409046E-4</v>
      </c>
      <c r="N42" s="19">
        <v>3.0479969878618004E-4</v>
      </c>
      <c r="O42" s="19">
        <v>3.001722040539046E-4</v>
      </c>
      <c r="P42" s="16">
        <v>1.8106335924263783E-4</v>
      </c>
      <c r="Q42" s="19">
        <v>4.9374149296751979E-4</v>
      </c>
      <c r="R42" s="16">
        <v>2.9991859352461475E-4</v>
      </c>
      <c r="S42" s="25">
        <v>0</v>
      </c>
      <c r="T42" s="22">
        <v>3.2223008491710477E-4</v>
      </c>
      <c r="U42" s="25">
        <v>1.4642220524573466E-4</v>
      </c>
      <c r="V42" s="22">
        <v>0</v>
      </c>
      <c r="W42" s="25">
        <v>0</v>
      </c>
    </row>
    <row r="43" spans="1:23" x14ac:dyDescent="0.2">
      <c r="A43" s="6" t="s">
        <v>532</v>
      </c>
      <c r="B43" s="19">
        <v>0</v>
      </c>
      <c r="C43" s="16">
        <v>0</v>
      </c>
      <c r="D43" s="19">
        <v>0</v>
      </c>
      <c r="E43" s="16">
        <v>0</v>
      </c>
      <c r="F43" s="19">
        <v>0</v>
      </c>
      <c r="G43" s="16">
        <v>0</v>
      </c>
      <c r="H43" s="22">
        <v>1.1094650420617776E-4</v>
      </c>
      <c r="I43" s="25">
        <v>2.5757263548320626E-5</v>
      </c>
      <c r="J43" s="22">
        <v>0</v>
      </c>
      <c r="K43" s="25">
        <v>0</v>
      </c>
      <c r="L43" s="22">
        <v>0</v>
      </c>
      <c r="M43" s="25">
        <v>0</v>
      </c>
      <c r="N43" s="19">
        <v>0</v>
      </c>
      <c r="O43" s="19">
        <v>0</v>
      </c>
      <c r="P43" s="16">
        <v>0</v>
      </c>
      <c r="Q43" s="19">
        <v>0</v>
      </c>
      <c r="R43" s="16">
        <v>0</v>
      </c>
      <c r="S43" s="25">
        <v>0</v>
      </c>
      <c r="T43" s="22">
        <v>0</v>
      </c>
      <c r="U43" s="25">
        <v>0</v>
      </c>
      <c r="V43" s="22">
        <v>1.2603109187036441E-5</v>
      </c>
      <c r="W43" s="25">
        <v>0</v>
      </c>
    </row>
    <row r="44" spans="1:23" x14ac:dyDescent="0.2">
      <c r="A44" s="6" t="s">
        <v>531</v>
      </c>
      <c r="B44" s="19">
        <v>2.5120313078428263E-4</v>
      </c>
      <c r="C44" s="16">
        <v>3.4625079637683168E-5</v>
      </c>
      <c r="D44" s="19">
        <v>2.4160596908864808E-4</v>
      </c>
      <c r="E44" s="16">
        <v>0</v>
      </c>
      <c r="F44" s="19">
        <v>2.5176041563355889E-4</v>
      </c>
      <c r="G44" s="16">
        <v>2.5829114577952269E-5</v>
      </c>
      <c r="H44" s="22">
        <v>2.6757686308548752E-4</v>
      </c>
      <c r="I44" s="25">
        <v>0</v>
      </c>
      <c r="J44" s="22">
        <v>6.6657778962804954E-5</v>
      </c>
      <c r="K44" s="25">
        <v>0</v>
      </c>
      <c r="L44" s="22">
        <v>7.3777143840838107E-5</v>
      </c>
      <c r="M44" s="25">
        <v>2.3279015630196209E-4</v>
      </c>
      <c r="N44" s="19">
        <v>6.6338757971109779E-4</v>
      </c>
      <c r="O44" s="19">
        <v>7.6622904719023024E-4</v>
      </c>
      <c r="P44" s="16">
        <v>0</v>
      </c>
      <c r="Q44" s="19">
        <v>2.5354292882115881E-4</v>
      </c>
      <c r="R44" s="16">
        <v>1.2139562118853454E-4</v>
      </c>
      <c r="S44" s="25">
        <v>0</v>
      </c>
      <c r="T44" s="22">
        <v>2.5904771532551555E-4</v>
      </c>
      <c r="U44" s="25">
        <v>5.0929462694168576E-5</v>
      </c>
      <c r="V44" s="22">
        <v>0</v>
      </c>
      <c r="W44" s="25">
        <v>0</v>
      </c>
    </row>
    <row r="45" spans="1:23" x14ac:dyDescent="0.2">
      <c r="A45" s="6" t="s">
        <v>530</v>
      </c>
      <c r="B45" s="19">
        <v>1.1284309059178167E-2</v>
      </c>
      <c r="C45" s="16">
        <v>1.0719924655826711E-2</v>
      </c>
      <c r="D45" s="19">
        <v>9.4155267365429035E-3</v>
      </c>
      <c r="E45" s="16">
        <v>1.2634582073837584E-2</v>
      </c>
      <c r="F45" s="19">
        <v>8.8726473752069393E-3</v>
      </c>
      <c r="G45" s="16">
        <v>1.8485036332954511E-2</v>
      </c>
      <c r="H45" s="22">
        <v>6.9831035000358938E-3</v>
      </c>
      <c r="I45" s="25">
        <v>3.1230682052338764E-3</v>
      </c>
      <c r="J45" s="22">
        <v>7.9522730302626302E-3</v>
      </c>
      <c r="K45" s="25">
        <v>3.6998310946674173E-3</v>
      </c>
      <c r="L45" s="22">
        <v>5.7300248383050905E-3</v>
      </c>
      <c r="M45" s="25">
        <v>6.1190555370801477E-3</v>
      </c>
      <c r="N45" s="19">
        <v>1.2825493207747889E-2</v>
      </c>
      <c r="O45" s="19">
        <v>1.6485773417381548E-2</v>
      </c>
      <c r="P45" s="16">
        <v>1.613403861822791E-2</v>
      </c>
      <c r="Q45" s="19">
        <v>1.4318503296058075E-2</v>
      </c>
      <c r="R45" s="16">
        <v>1.8016538368157208E-2</v>
      </c>
      <c r="S45" s="25">
        <v>3.993121526145285E-3</v>
      </c>
      <c r="T45" s="22">
        <v>5.3705014152850795E-3</v>
      </c>
      <c r="U45" s="25">
        <v>5.5258467023172903E-3</v>
      </c>
      <c r="V45" s="22">
        <v>6.799377406406161E-3</v>
      </c>
      <c r="W45" s="25">
        <v>3.6431073562744692E-3</v>
      </c>
    </row>
    <row r="46" spans="1:23" x14ac:dyDescent="0.2">
      <c r="A46" s="6" t="s">
        <v>529</v>
      </c>
      <c r="B46" s="19">
        <v>0</v>
      </c>
      <c r="C46" s="16">
        <v>0</v>
      </c>
      <c r="D46" s="19">
        <v>0</v>
      </c>
      <c r="E46" s="16">
        <v>0</v>
      </c>
      <c r="F46" s="19">
        <v>0</v>
      </c>
      <c r="G46" s="16">
        <v>0</v>
      </c>
      <c r="H46" s="22">
        <v>0</v>
      </c>
      <c r="I46" s="25">
        <v>0</v>
      </c>
      <c r="J46" s="22">
        <v>0</v>
      </c>
      <c r="K46" s="25">
        <v>0</v>
      </c>
      <c r="L46" s="22">
        <v>0</v>
      </c>
      <c r="M46" s="25">
        <v>0</v>
      </c>
      <c r="N46" s="19">
        <v>0</v>
      </c>
      <c r="O46" s="19">
        <v>0</v>
      </c>
      <c r="P46" s="16">
        <v>0</v>
      </c>
      <c r="Q46" s="19">
        <v>8.0066188048786993E-5</v>
      </c>
      <c r="R46" s="16">
        <v>0</v>
      </c>
      <c r="S46" s="25">
        <v>0</v>
      </c>
      <c r="T46" s="22">
        <v>3.7909421754953497E-5</v>
      </c>
      <c r="U46" s="25">
        <v>0</v>
      </c>
      <c r="V46" s="22">
        <v>0</v>
      </c>
      <c r="W46" s="25">
        <v>0</v>
      </c>
    </row>
    <row r="47" spans="1:23" x14ac:dyDescent="0.2">
      <c r="A47" s="6" t="s">
        <v>528</v>
      </c>
      <c r="B47" s="19">
        <v>8.413982759532497E-2</v>
      </c>
      <c r="C47" s="16">
        <v>5.1577518628292851E-2</v>
      </c>
      <c r="D47" s="19">
        <v>6.2384082430271798E-2</v>
      </c>
      <c r="E47" s="16">
        <v>7.046836259891999E-2</v>
      </c>
      <c r="F47" s="19">
        <v>6.043775795906222E-2</v>
      </c>
      <c r="G47" s="16">
        <v>9.7608223990081636E-2</v>
      </c>
      <c r="H47" s="22">
        <v>5.3985263693735436E-2</v>
      </c>
      <c r="I47" s="25">
        <v>4.1024881516587668E-2</v>
      </c>
      <c r="J47" s="22">
        <v>4.1734435408612193E-2</v>
      </c>
      <c r="K47" s="25">
        <v>3.3486152443765252E-2</v>
      </c>
      <c r="L47" s="22">
        <v>5.3125691660723513E-2</v>
      </c>
      <c r="M47" s="25">
        <v>5.6860658463584977E-2</v>
      </c>
      <c r="N47" s="19">
        <v>8.2642553623829371E-2</v>
      </c>
      <c r="O47" s="19">
        <v>6.5161066085280495E-2</v>
      </c>
      <c r="P47" s="16">
        <v>4.8803041864435265E-2</v>
      </c>
      <c r="Q47" s="19">
        <v>7.4514932344071097E-2</v>
      </c>
      <c r="R47" s="16">
        <v>6.3932646852997058E-2</v>
      </c>
      <c r="S47" s="25">
        <v>2.7204750526512399E-2</v>
      </c>
      <c r="T47" s="22">
        <v>5.5031843914274146E-2</v>
      </c>
      <c r="U47" s="25">
        <v>4.9477973007384775E-2</v>
      </c>
      <c r="V47" s="22">
        <v>4.4904878033410839E-2</v>
      </c>
      <c r="W47" s="25">
        <v>3.2169791881310528E-2</v>
      </c>
    </row>
    <row r="48" spans="1:23" x14ac:dyDescent="0.2">
      <c r="A48" s="6" t="s">
        <v>527</v>
      </c>
      <c r="B48" s="19">
        <v>9.2548521867893594E-5</v>
      </c>
      <c r="C48" s="16">
        <v>0</v>
      </c>
      <c r="D48" s="19">
        <v>0</v>
      </c>
      <c r="E48" s="16">
        <v>6.1135074550827022E-5</v>
      </c>
      <c r="F48" s="19">
        <v>0</v>
      </c>
      <c r="G48" s="16">
        <v>0</v>
      </c>
      <c r="H48" s="22">
        <v>0</v>
      </c>
      <c r="I48" s="25">
        <v>0</v>
      </c>
      <c r="J48" s="22">
        <v>0</v>
      </c>
      <c r="K48" s="25">
        <v>0</v>
      </c>
      <c r="L48" s="22">
        <v>7.3777143840838107E-5</v>
      </c>
      <c r="M48" s="25">
        <v>0</v>
      </c>
      <c r="N48" s="19">
        <v>0</v>
      </c>
      <c r="O48" s="19">
        <v>4.7395611166405993E-5</v>
      </c>
      <c r="P48" s="16">
        <v>0</v>
      </c>
      <c r="Q48" s="19">
        <v>0</v>
      </c>
      <c r="R48" s="16">
        <v>0</v>
      </c>
      <c r="S48" s="25">
        <v>0</v>
      </c>
      <c r="T48" s="22">
        <v>1.8322887181560857E-4</v>
      </c>
      <c r="U48" s="25">
        <v>0</v>
      </c>
      <c r="V48" s="22">
        <v>0</v>
      </c>
      <c r="W48" s="25">
        <v>0</v>
      </c>
    </row>
    <row r="49" spans="1:23" x14ac:dyDescent="0.2">
      <c r="A49" s="6" t="s">
        <v>526</v>
      </c>
      <c r="B49" s="19">
        <v>2.0625099159130573E-3</v>
      </c>
      <c r="C49" s="16">
        <v>1.6343037588986455E-3</v>
      </c>
      <c r="D49" s="19">
        <v>1.4425297566175164E-3</v>
      </c>
      <c r="E49" s="16">
        <v>1.3925211425466154E-3</v>
      </c>
      <c r="F49" s="19">
        <v>1.724177391914676E-3</v>
      </c>
      <c r="G49" s="16">
        <v>2.1007679856734508E-3</v>
      </c>
      <c r="H49" s="22">
        <v>4.9599613645114754E-4</v>
      </c>
      <c r="I49" s="25">
        <v>4.5075211209561096E-5</v>
      </c>
      <c r="J49" s="22">
        <v>3.1329156112518331E-4</v>
      </c>
      <c r="K49" s="25">
        <v>5.3620740502426337E-5</v>
      </c>
      <c r="L49" s="22">
        <v>6.5169810392740339E-4</v>
      </c>
      <c r="M49" s="25">
        <v>3.7246425008313934E-4</v>
      </c>
      <c r="N49" s="19">
        <v>1.5180220292488182E-3</v>
      </c>
      <c r="O49" s="19">
        <v>2.8674344755675626E-3</v>
      </c>
      <c r="P49" s="16">
        <v>2.0175631458465358E-3</v>
      </c>
      <c r="Q49" s="19">
        <v>1.5079132082521549E-3</v>
      </c>
      <c r="R49" s="16">
        <v>2.2136848569673947E-3</v>
      </c>
      <c r="S49" s="25">
        <v>1.5457244617336587E-4</v>
      </c>
      <c r="T49" s="22">
        <v>8.5296198948645366E-4</v>
      </c>
      <c r="U49" s="25">
        <v>1.0822510822510823E-4</v>
      </c>
      <c r="V49" s="22">
        <v>6.4275856853885857E-4</v>
      </c>
      <c r="W49" s="25">
        <v>1.3187718936740161E-4</v>
      </c>
    </row>
    <row r="50" spans="1:23" x14ac:dyDescent="0.2">
      <c r="A50" s="6" t="s">
        <v>525</v>
      </c>
      <c r="B50" s="19">
        <v>2.0162356549791103E-3</v>
      </c>
      <c r="C50" s="16">
        <v>4.4320101936234452E-4</v>
      </c>
      <c r="D50" s="19">
        <v>1.0019541659264525E-3</v>
      </c>
      <c r="E50" s="16">
        <v>7.0644975036511222E-4</v>
      </c>
      <c r="F50" s="19">
        <v>7.4002303989258221E-4</v>
      </c>
      <c r="G50" s="16">
        <v>2.3246203120157042E-4</v>
      </c>
      <c r="H50" s="22">
        <v>1.7425127425323213E-3</v>
      </c>
      <c r="I50" s="25">
        <v>5.795384298372141E-4</v>
      </c>
      <c r="J50" s="22">
        <v>1.666444474070124E-4</v>
      </c>
      <c r="K50" s="25">
        <v>1.2064666613045926E-4</v>
      </c>
      <c r="L50" s="22">
        <v>1.4939871627769718E-3</v>
      </c>
      <c r="M50" s="25">
        <v>9.5111406717658794E-4</v>
      </c>
      <c r="N50" s="19">
        <v>1.6016925347979657E-3</v>
      </c>
      <c r="O50" s="19">
        <v>1.3428756497148363E-4</v>
      </c>
      <c r="P50" s="16">
        <v>2.9099468449709652E-4</v>
      </c>
      <c r="Q50" s="19">
        <v>3.8698657556913714E-4</v>
      </c>
      <c r="R50" s="16">
        <v>1.2853654008197773E-4</v>
      </c>
      <c r="S50" s="25">
        <v>3.2202592952784557E-4</v>
      </c>
      <c r="T50" s="22">
        <v>1.6680145572179539E-3</v>
      </c>
      <c r="U50" s="25">
        <v>9.3582887700534756E-4</v>
      </c>
      <c r="V50" s="22">
        <v>2.9617306589535639E-4</v>
      </c>
      <c r="W50" s="25">
        <v>0</v>
      </c>
    </row>
    <row r="51" spans="1:23" x14ac:dyDescent="0.2">
      <c r="A51" s="6" t="s">
        <v>524</v>
      </c>
      <c r="B51" s="19">
        <v>2.1153947855518537E-4</v>
      </c>
      <c r="C51" s="16">
        <v>0</v>
      </c>
      <c r="D51" s="19">
        <v>7.6745425475217616E-4</v>
      </c>
      <c r="E51" s="16">
        <v>5.4342288489624017E-5</v>
      </c>
      <c r="F51" s="19">
        <v>2.5176041563355889E-4</v>
      </c>
      <c r="G51" s="16">
        <v>3.9604642352860145E-4</v>
      </c>
      <c r="H51" s="22">
        <v>1.8599855116918035E-3</v>
      </c>
      <c r="I51" s="25">
        <v>1.8674016072532453E-4</v>
      </c>
      <c r="J51" s="22">
        <v>3.8661511798426877E-4</v>
      </c>
      <c r="K51" s="25">
        <v>6.5685407115472264E-4</v>
      </c>
      <c r="L51" s="22">
        <v>6.9473477116789226E-4</v>
      </c>
      <c r="M51" s="25">
        <v>9.2450947788493508E-4</v>
      </c>
      <c r="N51" s="19">
        <v>3.2870555751450791E-4</v>
      </c>
      <c r="O51" s="19">
        <v>8.6891953805077657E-4</v>
      </c>
      <c r="P51" s="16">
        <v>5.81989368994193E-5</v>
      </c>
      <c r="Q51" s="19">
        <v>0</v>
      </c>
      <c r="R51" s="16">
        <v>3.5704594467216042E-5</v>
      </c>
      <c r="S51" s="25">
        <v>2.8982333657506104E-4</v>
      </c>
      <c r="T51" s="22">
        <v>2.716841892438334E-4</v>
      </c>
      <c r="U51" s="25">
        <v>4.7746371275783042E-4</v>
      </c>
      <c r="V51" s="22">
        <v>6.8056789609996775E-4</v>
      </c>
      <c r="W51" s="25">
        <v>3.9563156810220484E-4</v>
      </c>
    </row>
    <row r="52" spans="1:23" x14ac:dyDescent="0.2">
      <c r="A52" s="6" t="s">
        <v>523</v>
      </c>
      <c r="B52" s="19">
        <v>0</v>
      </c>
      <c r="C52" s="16">
        <v>0</v>
      </c>
      <c r="D52" s="19">
        <v>0</v>
      </c>
      <c r="E52" s="16">
        <v>0</v>
      </c>
      <c r="F52" s="19">
        <v>0</v>
      </c>
      <c r="G52" s="16">
        <v>0</v>
      </c>
      <c r="H52" s="22">
        <v>0</v>
      </c>
      <c r="I52" s="25">
        <v>0</v>
      </c>
      <c r="J52" s="22">
        <v>0</v>
      </c>
      <c r="K52" s="25">
        <v>0</v>
      </c>
      <c r="L52" s="22">
        <v>0</v>
      </c>
      <c r="M52" s="25">
        <v>0</v>
      </c>
      <c r="N52" s="19">
        <v>0</v>
      </c>
      <c r="O52" s="19">
        <v>0</v>
      </c>
      <c r="P52" s="16">
        <v>0</v>
      </c>
      <c r="Q52" s="19">
        <v>0</v>
      </c>
      <c r="R52" s="16">
        <v>0</v>
      </c>
      <c r="S52" s="25">
        <v>1.9321555771670734E-5</v>
      </c>
      <c r="T52" s="22">
        <v>0</v>
      </c>
      <c r="U52" s="25">
        <v>0</v>
      </c>
      <c r="V52" s="22">
        <v>0</v>
      </c>
      <c r="W52" s="25">
        <v>0</v>
      </c>
    </row>
    <row r="53" spans="1:23" x14ac:dyDescent="0.2">
      <c r="A53" s="6" t="s">
        <v>522</v>
      </c>
      <c r="B53" s="19">
        <v>0</v>
      </c>
      <c r="C53" s="16">
        <v>0</v>
      </c>
      <c r="D53" s="19">
        <v>0</v>
      </c>
      <c r="E53" s="16">
        <v>0</v>
      </c>
      <c r="F53" s="19">
        <v>0</v>
      </c>
      <c r="G53" s="16">
        <v>0</v>
      </c>
      <c r="H53" s="22">
        <v>0</v>
      </c>
      <c r="I53" s="25">
        <v>0</v>
      </c>
      <c r="J53" s="22">
        <v>0</v>
      </c>
      <c r="K53" s="25">
        <v>0</v>
      </c>
      <c r="L53" s="22">
        <v>0</v>
      </c>
      <c r="M53" s="25">
        <v>0</v>
      </c>
      <c r="N53" s="19">
        <v>0</v>
      </c>
      <c r="O53" s="19">
        <v>0</v>
      </c>
      <c r="P53" s="16">
        <v>6.4665485443799232E-5</v>
      </c>
      <c r="Q53" s="19">
        <v>0</v>
      </c>
      <c r="R53" s="16">
        <v>0</v>
      </c>
      <c r="S53" s="25">
        <v>0</v>
      </c>
      <c r="T53" s="22">
        <v>0</v>
      </c>
      <c r="U53" s="25">
        <v>0</v>
      </c>
      <c r="V53" s="22">
        <v>0</v>
      </c>
      <c r="W53" s="25">
        <v>0</v>
      </c>
    </row>
    <row r="54" spans="1:23" x14ac:dyDescent="0.2">
      <c r="A54" s="6" t="s">
        <v>521</v>
      </c>
      <c r="B54" s="19">
        <v>6.2800782696070649E-4</v>
      </c>
      <c r="C54" s="16">
        <v>2.5899559568987002E-3</v>
      </c>
      <c r="D54" s="19">
        <v>4.1428317640788779E-3</v>
      </c>
      <c r="E54" s="16">
        <v>5.4478144210848081E-3</v>
      </c>
      <c r="F54" s="19">
        <v>2.6854444334246277E-3</v>
      </c>
      <c r="G54" s="16">
        <v>3.2716878465406203E-3</v>
      </c>
      <c r="H54" s="22">
        <v>1.3900944350538746E-3</v>
      </c>
      <c r="I54" s="25">
        <v>6.310529569338554E-4</v>
      </c>
      <c r="J54" s="22">
        <v>8.9988001599786691E-4</v>
      </c>
      <c r="K54" s="25">
        <v>4.8258666452183704E-4</v>
      </c>
      <c r="L54" s="22">
        <v>1.0328800137717337E-3</v>
      </c>
      <c r="M54" s="25">
        <v>7.4492850016627868E-4</v>
      </c>
      <c r="N54" s="19">
        <v>3.4603730509254554E-3</v>
      </c>
      <c r="O54" s="19">
        <v>5.5531857749972352E-3</v>
      </c>
      <c r="P54" s="16">
        <v>5.7164289132318512E-3</v>
      </c>
      <c r="Q54" s="19">
        <v>3.2960580746750658E-3</v>
      </c>
      <c r="R54" s="16">
        <v>4.1203102015167307E-3</v>
      </c>
      <c r="S54" s="25">
        <v>5.2812252442566675E-4</v>
      </c>
      <c r="T54" s="22">
        <v>1.0235543873837445E-3</v>
      </c>
      <c r="U54" s="25">
        <v>7.4484339190221546E-4</v>
      </c>
      <c r="V54" s="22">
        <v>1.3296280192323445E-3</v>
      </c>
      <c r="W54" s="25">
        <v>2.8848135174119102E-4</v>
      </c>
    </row>
    <row r="55" spans="1:23" x14ac:dyDescent="0.2">
      <c r="A55" s="6" t="s">
        <v>520</v>
      </c>
      <c r="B55" s="19">
        <v>0</v>
      </c>
      <c r="C55" s="16">
        <v>0</v>
      </c>
      <c r="D55" s="19">
        <v>0</v>
      </c>
      <c r="E55" s="16">
        <v>0</v>
      </c>
      <c r="F55" s="19">
        <v>0</v>
      </c>
      <c r="G55" s="16">
        <v>0</v>
      </c>
      <c r="H55" s="22">
        <v>0</v>
      </c>
      <c r="I55" s="25">
        <v>0</v>
      </c>
      <c r="J55" s="22">
        <v>0</v>
      </c>
      <c r="K55" s="25">
        <v>0</v>
      </c>
      <c r="L55" s="22">
        <v>0</v>
      </c>
      <c r="M55" s="25">
        <v>0</v>
      </c>
      <c r="N55" s="19">
        <v>0</v>
      </c>
      <c r="O55" s="19">
        <v>0</v>
      </c>
      <c r="P55" s="16">
        <v>0</v>
      </c>
      <c r="Q55" s="19">
        <v>0</v>
      </c>
      <c r="R55" s="16">
        <v>0</v>
      </c>
      <c r="S55" s="25">
        <v>0</v>
      </c>
      <c r="T55" s="22">
        <v>2.0218358269308531E-4</v>
      </c>
      <c r="U55" s="25">
        <v>0</v>
      </c>
      <c r="V55" s="22">
        <v>0</v>
      </c>
      <c r="W55" s="25">
        <v>0</v>
      </c>
    </row>
    <row r="56" spans="1:23" x14ac:dyDescent="0.2">
      <c r="A56" s="6" t="s">
        <v>519</v>
      </c>
      <c r="B56" s="19">
        <v>4.2374001798085566E-3</v>
      </c>
      <c r="C56" s="16">
        <v>1.149552643971081E-3</v>
      </c>
      <c r="D56" s="19">
        <v>1.8617871735654649E-2</v>
      </c>
      <c r="E56" s="16">
        <v>6.8063716333254115E-3</v>
      </c>
      <c r="F56" s="19">
        <v>1.2839781197311502E-2</v>
      </c>
      <c r="G56" s="16">
        <v>1.8975789509935607E-2</v>
      </c>
      <c r="H56" s="22">
        <v>8.6538273280818631E-3</v>
      </c>
      <c r="I56" s="25">
        <v>2.8332989903152693E-4</v>
      </c>
      <c r="J56" s="22">
        <v>9.8653512864951354E-4</v>
      </c>
      <c r="K56" s="25">
        <v>1.6086222150727902E-4</v>
      </c>
      <c r="L56" s="22">
        <v>4.414332439810144E-3</v>
      </c>
      <c r="M56" s="25">
        <v>4.3964083804456265E-3</v>
      </c>
      <c r="N56" s="19">
        <v>8.211662473180616E-3</v>
      </c>
      <c r="O56" s="19">
        <v>1.5774839249885451E-2</v>
      </c>
      <c r="P56" s="16">
        <v>8.186650457184981E-3</v>
      </c>
      <c r="Q56" s="19">
        <v>1.1155888868130985E-2</v>
      </c>
      <c r="R56" s="16">
        <v>1.0040131964181149E-2</v>
      </c>
      <c r="S56" s="25">
        <v>2.0609659489782115E-4</v>
      </c>
      <c r="T56" s="22">
        <v>8.6180752122927522E-3</v>
      </c>
      <c r="U56" s="25">
        <v>4.4626941685765214E-3</v>
      </c>
      <c r="V56" s="22">
        <v>4.2787555689988736E-3</v>
      </c>
      <c r="W56" s="25">
        <v>4.4508551411498042E-4</v>
      </c>
    </row>
    <row r="57" spans="1:23" x14ac:dyDescent="0.2">
      <c r="A57" s="6" t="s">
        <v>518</v>
      </c>
      <c r="B57" s="19">
        <v>0</v>
      </c>
      <c r="C57" s="16">
        <v>3.4625079637683168E-5</v>
      </c>
      <c r="D57" s="19">
        <v>0</v>
      </c>
      <c r="E57" s="16">
        <v>0</v>
      </c>
      <c r="F57" s="19">
        <v>0</v>
      </c>
      <c r="G57" s="16">
        <v>0</v>
      </c>
      <c r="H57" s="22">
        <v>0</v>
      </c>
      <c r="I57" s="25">
        <v>0</v>
      </c>
      <c r="J57" s="22">
        <v>0</v>
      </c>
      <c r="K57" s="25">
        <v>0</v>
      </c>
      <c r="L57" s="22">
        <v>0</v>
      </c>
      <c r="M57" s="25">
        <v>0</v>
      </c>
      <c r="N57" s="19">
        <v>0</v>
      </c>
      <c r="O57" s="19">
        <v>0</v>
      </c>
      <c r="P57" s="16">
        <v>0</v>
      </c>
      <c r="Q57" s="19">
        <v>0</v>
      </c>
      <c r="R57" s="16">
        <v>3.5704594467216042E-5</v>
      </c>
      <c r="S57" s="25">
        <v>0</v>
      </c>
      <c r="T57" s="22">
        <v>1.8954710877476749E-4</v>
      </c>
      <c r="U57" s="25">
        <v>0</v>
      </c>
      <c r="V57" s="22">
        <v>0</v>
      </c>
      <c r="W57" s="25">
        <v>0</v>
      </c>
    </row>
    <row r="58" spans="1:23" x14ac:dyDescent="0.2">
      <c r="A58" s="6" t="s">
        <v>517</v>
      </c>
      <c r="B58" s="19">
        <v>0</v>
      </c>
      <c r="C58" s="16">
        <v>0</v>
      </c>
      <c r="D58" s="19">
        <v>0</v>
      </c>
      <c r="E58" s="16">
        <v>0</v>
      </c>
      <c r="F58" s="19">
        <v>0</v>
      </c>
      <c r="G58" s="16">
        <v>0</v>
      </c>
      <c r="H58" s="22">
        <v>9.1367709346264041E-5</v>
      </c>
      <c r="I58" s="25">
        <v>0</v>
      </c>
      <c r="J58" s="22">
        <v>5.9992001066524464E-5</v>
      </c>
      <c r="K58" s="25">
        <v>0</v>
      </c>
      <c r="L58" s="22">
        <v>0</v>
      </c>
      <c r="M58" s="25">
        <v>1.9953441968739608E-5</v>
      </c>
      <c r="N58" s="19">
        <v>0</v>
      </c>
      <c r="O58" s="19">
        <v>0</v>
      </c>
      <c r="P58" s="16">
        <v>0</v>
      </c>
      <c r="Q58" s="19">
        <v>0</v>
      </c>
      <c r="R58" s="16">
        <v>0</v>
      </c>
      <c r="S58" s="25">
        <v>0</v>
      </c>
      <c r="T58" s="22">
        <v>0</v>
      </c>
      <c r="U58" s="25">
        <v>0</v>
      </c>
      <c r="V58" s="22">
        <v>0</v>
      </c>
      <c r="W58" s="25">
        <v>0</v>
      </c>
    </row>
    <row r="59" spans="1:23" x14ac:dyDescent="0.2">
      <c r="A59" s="6" t="s">
        <v>516</v>
      </c>
      <c r="B59" s="19">
        <v>3.9002591358612299E-4</v>
      </c>
      <c r="C59" s="16">
        <v>0</v>
      </c>
      <c r="D59" s="19">
        <v>0</v>
      </c>
      <c r="E59" s="16">
        <v>0</v>
      </c>
      <c r="F59" s="19">
        <v>3.0516414016188958E-5</v>
      </c>
      <c r="G59" s="16">
        <v>8.0070255191652033E-4</v>
      </c>
      <c r="H59" s="22">
        <v>0</v>
      </c>
      <c r="I59" s="25">
        <v>0</v>
      </c>
      <c r="J59" s="22">
        <v>0</v>
      </c>
      <c r="K59" s="25">
        <v>0</v>
      </c>
      <c r="L59" s="22">
        <v>0</v>
      </c>
      <c r="M59" s="25">
        <v>0</v>
      </c>
      <c r="N59" s="19">
        <v>0</v>
      </c>
      <c r="O59" s="19">
        <v>0</v>
      </c>
      <c r="P59" s="16">
        <v>0</v>
      </c>
      <c r="Q59" s="19">
        <v>0</v>
      </c>
      <c r="R59" s="16">
        <v>0</v>
      </c>
      <c r="S59" s="25">
        <v>0</v>
      </c>
      <c r="T59" s="22">
        <v>0</v>
      </c>
      <c r="U59" s="25">
        <v>0</v>
      </c>
      <c r="V59" s="22">
        <v>0</v>
      </c>
      <c r="W59" s="25">
        <v>0</v>
      </c>
    </row>
    <row r="60" spans="1:23" x14ac:dyDescent="0.2">
      <c r="A60" s="6" t="s">
        <v>515</v>
      </c>
      <c r="B60" s="19">
        <v>0</v>
      </c>
      <c r="C60" s="16">
        <v>0</v>
      </c>
      <c r="D60" s="19">
        <v>4.2636347486232012E-5</v>
      </c>
      <c r="E60" s="16">
        <v>0</v>
      </c>
      <c r="F60" s="19">
        <v>0</v>
      </c>
      <c r="G60" s="16">
        <v>1.0331645831180907E-4</v>
      </c>
      <c r="H60" s="22">
        <v>0</v>
      </c>
      <c r="I60" s="25">
        <v>0</v>
      </c>
      <c r="J60" s="22">
        <v>0</v>
      </c>
      <c r="K60" s="25">
        <v>0</v>
      </c>
      <c r="L60" s="22">
        <v>0</v>
      </c>
      <c r="M60" s="25">
        <v>0</v>
      </c>
      <c r="N60" s="19">
        <v>0</v>
      </c>
      <c r="O60" s="19">
        <v>0</v>
      </c>
      <c r="P60" s="16">
        <v>0</v>
      </c>
      <c r="Q60" s="19">
        <v>0</v>
      </c>
      <c r="R60" s="16">
        <v>0</v>
      </c>
      <c r="S60" s="25">
        <v>0</v>
      </c>
      <c r="T60" s="22">
        <v>0</v>
      </c>
      <c r="U60" s="25">
        <v>0</v>
      </c>
      <c r="V60" s="22">
        <v>0</v>
      </c>
      <c r="W60" s="25">
        <v>0</v>
      </c>
    </row>
    <row r="61" spans="1:23" x14ac:dyDescent="0.2">
      <c r="A61" s="6" t="s">
        <v>514</v>
      </c>
      <c r="B61" s="19">
        <v>0</v>
      </c>
      <c r="C61" s="16">
        <v>0</v>
      </c>
      <c r="D61" s="19">
        <v>0</v>
      </c>
      <c r="E61" s="16">
        <v>0</v>
      </c>
      <c r="F61" s="19">
        <v>0</v>
      </c>
      <c r="G61" s="16">
        <v>1.3775527774907877E-4</v>
      </c>
      <c r="H61" s="22">
        <v>0</v>
      </c>
      <c r="I61" s="25">
        <v>0</v>
      </c>
      <c r="J61" s="22">
        <v>0</v>
      </c>
      <c r="K61" s="25">
        <v>0</v>
      </c>
      <c r="L61" s="22">
        <v>0</v>
      </c>
      <c r="M61" s="25">
        <v>0</v>
      </c>
      <c r="N61" s="19">
        <v>0</v>
      </c>
      <c r="O61" s="19">
        <v>0</v>
      </c>
      <c r="P61" s="16">
        <v>0</v>
      </c>
      <c r="Q61" s="19">
        <v>0</v>
      </c>
      <c r="R61" s="16">
        <v>0</v>
      </c>
      <c r="S61" s="25">
        <v>0</v>
      </c>
      <c r="T61" s="22">
        <v>0</v>
      </c>
      <c r="U61" s="25">
        <v>0</v>
      </c>
      <c r="V61" s="22">
        <v>0</v>
      </c>
      <c r="W61" s="25">
        <v>0</v>
      </c>
    </row>
    <row r="62" spans="1:23" x14ac:dyDescent="0.2">
      <c r="A62" s="6" t="s">
        <v>513</v>
      </c>
      <c r="B62" s="19">
        <v>0</v>
      </c>
      <c r="C62" s="16">
        <v>0</v>
      </c>
      <c r="D62" s="19">
        <v>0</v>
      </c>
      <c r="E62" s="16">
        <v>0</v>
      </c>
      <c r="F62" s="19">
        <v>0</v>
      </c>
      <c r="G62" s="16">
        <v>1.0331645831180907E-4</v>
      </c>
      <c r="H62" s="22">
        <v>0</v>
      </c>
      <c r="I62" s="25">
        <v>0</v>
      </c>
      <c r="J62" s="22">
        <v>0</v>
      </c>
      <c r="K62" s="25">
        <v>0</v>
      </c>
      <c r="L62" s="22">
        <v>0</v>
      </c>
      <c r="M62" s="25">
        <v>0</v>
      </c>
      <c r="N62" s="19">
        <v>0</v>
      </c>
      <c r="O62" s="19">
        <v>1.5798537055468663E-5</v>
      </c>
      <c r="P62" s="16">
        <v>0</v>
      </c>
      <c r="Q62" s="19">
        <v>0</v>
      </c>
      <c r="R62" s="16">
        <v>0</v>
      </c>
      <c r="S62" s="25">
        <v>0</v>
      </c>
      <c r="T62" s="22">
        <v>2.5272947836635664E-5</v>
      </c>
      <c r="U62" s="25">
        <v>0</v>
      </c>
      <c r="V62" s="22">
        <v>0</v>
      </c>
      <c r="W62" s="25">
        <v>0</v>
      </c>
    </row>
    <row r="63" spans="1:23" x14ac:dyDescent="0.2">
      <c r="A63" s="6" t="s">
        <v>512</v>
      </c>
      <c r="B63" s="19">
        <v>1.3221217409699086E-5</v>
      </c>
      <c r="C63" s="16">
        <v>1.662003822608792E-4</v>
      </c>
      <c r="D63" s="19">
        <v>7.1060579143720029E-5</v>
      </c>
      <c r="E63" s="16">
        <v>2.0378358183609007E-5</v>
      </c>
      <c r="F63" s="19">
        <v>4.5011710673878717E-4</v>
      </c>
      <c r="G63" s="16">
        <v>0</v>
      </c>
      <c r="H63" s="22">
        <v>2.7410312803879212E-4</v>
      </c>
      <c r="I63" s="25">
        <v>5.7953842983721407E-5</v>
      </c>
      <c r="J63" s="22">
        <v>2.6663111585121983E-5</v>
      </c>
      <c r="K63" s="25">
        <v>3.3512962814016462E-5</v>
      </c>
      <c r="L63" s="22">
        <v>5.533285788062858E-5</v>
      </c>
      <c r="M63" s="25">
        <v>4.2567342866644495E-4</v>
      </c>
      <c r="N63" s="19">
        <v>2.8687030473993413E-4</v>
      </c>
      <c r="O63" s="19">
        <v>4.7395611166405993E-5</v>
      </c>
      <c r="P63" s="16">
        <v>3.2332742721899616E-5</v>
      </c>
      <c r="Q63" s="19">
        <v>8.0066188048786993E-5</v>
      </c>
      <c r="R63" s="16">
        <v>0</v>
      </c>
      <c r="S63" s="25">
        <v>3.8643111543341467E-5</v>
      </c>
      <c r="T63" s="22">
        <v>1.2636473918317832E-5</v>
      </c>
      <c r="U63" s="25">
        <v>4.4563279857397503E-5</v>
      </c>
      <c r="V63" s="22">
        <v>2.7096684752128349E-4</v>
      </c>
      <c r="W63" s="25">
        <v>0</v>
      </c>
    </row>
    <row r="64" spans="1:23" x14ac:dyDescent="0.2">
      <c r="A64" s="6" t="s">
        <v>511</v>
      </c>
      <c r="B64" s="19">
        <v>4.3762229626103993E-3</v>
      </c>
      <c r="C64" s="16">
        <v>2.8946566577103118E-3</v>
      </c>
      <c r="D64" s="19">
        <v>3.1835139456386579E-3</v>
      </c>
      <c r="E64" s="16">
        <v>6.5754169072445049E-3</v>
      </c>
      <c r="F64" s="19">
        <v>8.0410750932657909E-3</v>
      </c>
      <c r="G64" s="16">
        <v>1.3095361091021794E-2</v>
      </c>
      <c r="H64" s="22">
        <v>1.0187499592108441E-2</v>
      </c>
      <c r="I64" s="25">
        <v>5.2351638161961681E-3</v>
      </c>
      <c r="J64" s="22">
        <v>6.1325156645780582E-3</v>
      </c>
      <c r="K64" s="25">
        <v>1.9236440655245452E-3</v>
      </c>
      <c r="L64" s="22">
        <v>4.9307724466960126E-3</v>
      </c>
      <c r="M64" s="25">
        <v>4.9484536082474223E-3</v>
      </c>
      <c r="N64" s="19">
        <v>1.1642153200695662E-2</v>
      </c>
      <c r="O64" s="19">
        <v>1.492961751741788E-2</v>
      </c>
      <c r="P64" s="16">
        <v>7.2942667580605542E-3</v>
      </c>
      <c r="Q64" s="19">
        <v>8.7805919560169747E-3</v>
      </c>
      <c r="R64" s="16">
        <v>6.4696725174595449E-3</v>
      </c>
      <c r="S64" s="25">
        <v>2.6792557336716748E-3</v>
      </c>
      <c r="T64" s="22">
        <v>5.1619995956328343E-3</v>
      </c>
      <c r="U64" s="25">
        <v>5.7677616501145912E-3</v>
      </c>
      <c r="V64" s="22">
        <v>4.845895482415514E-3</v>
      </c>
      <c r="W64" s="25">
        <v>2.6210591386771069E-3</v>
      </c>
    </row>
    <row r="65" spans="1:23" x14ac:dyDescent="0.2">
      <c r="A65" s="6" t="s">
        <v>510</v>
      </c>
      <c r="B65" s="19">
        <v>8.4285260986831645E-3</v>
      </c>
      <c r="C65" s="16">
        <v>2.3822054790726016E-3</v>
      </c>
      <c r="D65" s="19">
        <v>1.0005329543435779E-2</v>
      </c>
      <c r="E65" s="16">
        <v>4.2115273579458592E-3</v>
      </c>
      <c r="F65" s="19">
        <v>6.8661931536425176E-3</v>
      </c>
      <c r="G65" s="16">
        <v>8.1964390260701875E-3</v>
      </c>
      <c r="H65" s="22">
        <v>1.2080116428566764E-2</v>
      </c>
      <c r="I65" s="25">
        <v>1.204152070883989E-3</v>
      </c>
      <c r="J65" s="22">
        <v>5.9325423276896413E-4</v>
      </c>
      <c r="K65" s="25">
        <v>3.6864259095418107E-4</v>
      </c>
      <c r="L65" s="22">
        <v>5.0660305437375507E-3</v>
      </c>
      <c r="M65" s="25">
        <v>3.9108746258729636E-3</v>
      </c>
      <c r="N65" s="19">
        <v>5.4684651841049947E-3</v>
      </c>
      <c r="O65" s="19">
        <v>1.2101679384488999E-2</v>
      </c>
      <c r="P65" s="16">
        <v>4.9598427335394001E-3</v>
      </c>
      <c r="Q65" s="19">
        <v>9.4478101897568657E-3</v>
      </c>
      <c r="R65" s="16">
        <v>5.9055399248775318E-3</v>
      </c>
      <c r="S65" s="25">
        <v>1.0047209001268784E-3</v>
      </c>
      <c r="T65" s="22">
        <v>7.1775171856045296E-3</v>
      </c>
      <c r="U65" s="25">
        <v>2.7374586198115609E-3</v>
      </c>
      <c r="V65" s="22">
        <v>2.6844622568387624E-3</v>
      </c>
      <c r="W65" s="25">
        <v>6.0993200082423249E-4</v>
      </c>
    </row>
    <row r="66" spans="1:23" x14ac:dyDescent="0.2">
      <c r="A66" s="6" t="s">
        <v>509</v>
      </c>
      <c r="B66" s="19">
        <v>2.7215876037865568E-2</v>
      </c>
      <c r="C66" s="16">
        <v>2.5082407689537674E-2</v>
      </c>
      <c r="D66" s="19">
        <v>1.4830342867294372E-2</v>
      </c>
      <c r="E66" s="16">
        <v>2.3564174846313221E-2</v>
      </c>
      <c r="F66" s="19">
        <v>2.0911372704593485E-2</v>
      </c>
      <c r="G66" s="16">
        <v>1.2070806212763026E-2</v>
      </c>
      <c r="H66" s="22">
        <v>2.3455396242176643E-2</v>
      </c>
      <c r="I66" s="25">
        <v>1.7624407582938394E-2</v>
      </c>
      <c r="J66" s="22">
        <v>2.7916277829622714E-2</v>
      </c>
      <c r="K66" s="25">
        <v>1.8130512882382904E-2</v>
      </c>
      <c r="L66" s="22">
        <v>3.1976243759683241E-2</v>
      </c>
      <c r="M66" s="25">
        <v>1.8417026937146662E-2</v>
      </c>
      <c r="N66" s="19">
        <v>1.6674336463008674E-2</v>
      </c>
      <c r="O66" s="19">
        <v>1.8389497132565519E-2</v>
      </c>
      <c r="P66" s="16">
        <v>1.8733591133068647E-2</v>
      </c>
      <c r="Q66" s="19">
        <v>1.8642077450692573E-2</v>
      </c>
      <c r="R66" s="16">
        <v>1.514588897299304E-2</v>
      </c>
      <c r="S66" s="25">
        <v>2.0345598227569282E-2</v>
      </c>
      <c r="T66" s="22">
        <v>1.2889203396684189E-2</v>
      </c>
      <c r="U66" s="25">
        <v>2.1193022663610894E-2</v>
      </c>
      <c r="V66" s="22">
        <v>1.7083514503027891E-2</v>
      </c>
      <c r="W66" s="25">
        <v>1.4432309911395019E-2</v>
      </c>
    </row>
    <row r="67" spans="1:23" x14ac:dyDescent="0.2">
      <c r="A67" s="6" t="s">
        <v>508</v>
      </c>
      <c r="B67" s="19">
        <v>0</v>
      </c>
      <c r="C67" s="16">
        <v>1.3850031855073266E-5</v>
      </c>
      <c r="D67" s="19">
        <v>2.1318173743116006E-5</v>
      </c>
      <c r="E67" s="16">
        <v>0</v>
      </c>
      <c r="F67" s="19">
        <v>4.5774621024283436E-5</v>
      </c>
      <c r="G67" s="16">
        <v>0</v>
      </c>
      <c r="H67" s="22">
        <v>0</v>
      </c>
      <c r="I67" s="25">
        <v>2.5757263548320626E-5</v>
      </c>
      <c r="J67" s="22">
        <v>0</v>
      </c>
      <c r="K67" s="25">
        <v>0</v>
      </c>
      <c r="L67" s="22">
        <v>0</v>
      </c>
      <c r="M67" s="25">
        <v>0</v>
      </c>
      <c r="N67" s="19">
        <v>0</v>
      </c>
      <c r="O67" s="19">
        <v>0</v>
      </c>
      <c r="P67" s="16">
        <v>0</v>
      </c>
      <c r="Q67" s="19">
        <v>0</v>
      </c>
      <c r="R67" s="16">
        <v>0</v>
      </c>
      <c r="S67" s="25">
        <v>0</v>
      </c>
      <c r="T67" s="22">
        <v>0</v>
      </c>
      <c r="U67" s="25">
        <v>0</v>
      </c>
      <c r="V67" s="22">
        <v>0</v>
      </c>
      <c r="W67" s="25">
        <v>0</v>
      </c>
    </row>
    <row r="68" spans="1:23" x14ac:dyDescent="0.2">
      <c r="A68" s="6" t="s">
        <v>507</v>
      </c>
      <c r="B68" s="19">
        <v>3.3053043524247713E-5</v>
      </c>
      <c r="C68" s="16">
        <v>2.7700063710146532E-5</v>
      </c>
      <c r="D68" s="19">
        <v>0</v>
      </c>
      <c r="E68" s="16">
        <v>2.5812587032571411E-4</v>
      </c>
      <c r="F68" s="19">
        <v>8.392013854451963E-5</v>
      </c>
      <c r="G68" s="16">
        <v>3.1855907979474465E-4</v>
      </c>
      <c r="H68" s="22">
        <v>3.9157589719827446E-5</v>
      </c>
      <c r="I68" s="25">
        <v>6.4393158870801565E-6</v>
      </c>
      <c r="J68" s="22">
        <v>4.666044527396347E-5</v>
      </c>
      <c r="K68" s="25">
        <v>2.6810370251213168E-5</v>
      </c>
      <c r="L68" s="22">
        <v>2.0288714556230479E-4</v>
      </c>
      <c r="M68" s="25">
        <v>7.4492850016627868E-4</v>
      </c>
      <c r="N68" s="19">
        <v>4.7811717456655691E-5</v>
      </c>
      <c r="O68" s="19">
        <v>6.7143782485741825E-4</v>
      </c>
      <c r="P68" s="16">
        <v>4.5265839810659458E-5</v>
      </c>
      <c r="Q68" s="19">
        <v>1.6013237609757399E-4</v>
      </c>
      <c r="R68" s="16">
        <v>1.0711378340164812E-4</v>
      </c>
      <c r="S68" s="25">
        <v>5.1524148724455294E-5</v>
      </c>
      <c r="T68" s="22">
        <v>2.4641124140719771E-4</v>
      </c>
      <c r="U68" s="25">
        <v>1.1459129106187928E-4</v>
      </c>
      <c r="V68" s="22">
        <v>4.4110882154627547E-5</v>
      </c>
      <c r="W68" s="25">
        <v>0</v>
      </c>
    </row>
    <row r="69" spans="1:23" x14ac:dyDescent="0.2">
      <c r="A69" s="6" t="s">
        <v>506</v>
      </c>
      <c r="B69" s="19">
        <v>0</v>
      </c>
      <c r="C69" s="16">
        <v>0</v>
      </c>
      <c r="D69" s="19">
        <v>0</v>
      </c>
      <c r="E69" s="16">
        <v>0</v>
      </c>
      <c r="F69" s="19">
        <v>0</v>
      </c>
      <c r="G69" s="16">
        <v>0</v>
      </c>
      <c r="H69" s="22">
        <v>0</v>
      </c>
      <c r="I69" s="25">
        <v>0</v>
      </c>
      <c r="J69" s="22">
        <v>0</v>
      </c>
      <c r="K69" s="25">
        <v>0</v>
      </c>
      <c r="L69" s="22">
        <v>0</v>
      </c>
      <c r="M69" s="25">
        <v>0</v>
      </c>
      <c r="N69" s="19">
        <v>0</v>
      </c>
      <c r="O69" s="19">
        <v>0</v>
      </c>
      <c r="P69" s="16">
        <v>0</v>
      </c>
      <c r="Q69" s="19">
        <v>2.6688729349595664E-5</v>
      </c>
      <c r="R69" s="16">
        <v>0</v>
      </c>
      <c r="S69" s="25">
        <v>0</v>
      </c>
      <c r="T69" s="22">
        <v>3.7909421754953497E-5</v>
      </c>
      <c r="U69" s="25">
        <v>0</v>
      </c>
      <c r="V69" s="22">
        <v>0</v>
      </c>
      <c r="W69" s="25">
        <v>0</v>
      </c>
    </row>
    <row r="70" spans="1:23" x14ac:dyDescent="0.2">
      <c r="A70" s="6" t="s">
        <v>505</v>
      </c>
      <c r="B70" s="19">
        <v>0</v>
      </c>
      <c r="C70" s="16">
        <v>0</v>
      </c>
      <c r="D70" s="19">
        <v>0</v>
      </c>
      <c r="E70" s="16">
        <v>0</v>
      </c>
      <c r="F70" s="19">
        <v>0</v>
      </c>
      <c r="G70" s="16">
        <v>0</v>
      </c>
      <c r="H70" s="22">
        <v>0</v>
      </c>
      <c r="I70" s="25">
        <v>0</v>
      </c>
      <c r="J70" s="22">
        <v>0</v>
      </c>
      <c r="K70" s="25">
        <v>0</v>
      </c>
      <c r="L70" s="22">
        <v>0</v>
      </c>
      <c r="M70" s="25">
        <v>0</v>
      </c>
      <c r="N70" s="19">
        <v>0</v>
      </c>
      <c r="O70" s="19">
        <v>0</v>
      </c>
      <c r="P70" s="16">
        <v>0</v>
      </c>
      <c r="Q70" s="19">
        <v>0</v>
      </c>
      <c r="R70" s="16">
        <v>0</v>
      </c>
      <c r="S70" s="25">
        <v>0</v>
      </c>
      <c r="T70" s="22">
        <v>6.3182369591589164E-5</v>
      </c>
      <c r="U70" s="25">
        <v>0</v>
      </c>
      <c r="V70" s="22">
        <v>0</v>
      </c>
      <c r="W70" s="25">
        <v>0</v>
      </c>
    </row>
    <row r="71" spans="1:23" x14ac:dyDescent="0.2">
      <c r="A71" s="6" t="s">
        <v>504</v>
      </c>
      <c r="B71" s="19">
        <v>9.6911523613094318E-3</v>
      </c>
      <c r="C71" s="16">
        <v>7.2920417716960751E-3</v>
      </c>
      <c r="D71" s="19">
        <v>1.4069994670456562E-2</v>
      </c>
      <c r="E71" s="16">
        <v>6.5346601908772882E-3</v>
      </c>
      <c r="F71" s="19">
        <v>1.4266423552568337E-2</v>
      </c>
      <c r="G71" s="16">
        <v>9.375968591796676E-3</v>
      </c>
      <c r="H71" s="22">
        <v>3.1887330561846158E-2</v>
      </c>
      <c r="I71" s="25">
        <v>2.8642077065732522E-2</v>
      </c>
      <c r="J71" s="22">
        <v>1.8790827889614722E-2</v>
      </c>
      <c r="K71" s="25">
        <v>3.7735596128582537E-2</v>
      </c>
      <c r="L71" s="22">
        <v>2.0848191230356822E-2</v>
      </c>
      <c r="M71" s="25">
        <v>2.0665114732291337E-2</v>
      </c>
      <c r="N71" s="19">
        <v>8.4985327779205488E-3</v>
      </c>
      <c r="O71" s="19">
        <v>1.0790400808885095E-2</v>
      </c>
      <c r="P71" s="16">
        <v>6.2272862482378654E-3</v>
      </c>
      <c r="Q71" s="19">
        <v>7.8064533347567315E-3</v>
      </c>
      <c r="R71" s="16">
        <v>7.7550379182793217E-3</v>
      </c>
      <c r="S71" s="25">
        <v>3.4424571866526706E-2</v>
      </c>
      <c r="T71" s="22">
        <v>2.2581378892033946E-2</v>
      </c>
      <c r="U71" s="25">
        <v>4.2895339954163468E-2</v>
      </c>
      <c r="V71" s="22">
        <v>1.9194535291856503E-2</v>
      </c>
      <c r="W71" s="25">
        <v>1.9616731918400993E-2</v>
      </c>
    </row>
    <row r="72" spans="1:23" x14ac:dyDescent="0.2">
      <c r="A72" s="6" t="s">
        <v>503</v>
      </c>
      <c r="B72" s="19">
        <v>2.4459252207943309E-4</v>
      </c>
      <c r="C72" s="16">
        <v>0</v>
      </c>
      <c r="D72" s="19">
        <v>4.0504530111920415E-4</v>
      </c>
      <c r="E72" s="16">
        <v>1.7661243759127806E-4</v>
      </c>
      <c r="F72" s="19">
        <v>2.4413131212951166E-4</v>
      </c>
      <c r="G72" s="16">
        <v>7.7487343733856806E-5</v>
      </c>
      <c r="H72" s="22">
        <v>4.6989107663792935E-4</v>
      </c>
      <c r="I72" s="25">
        <v>0</v>
      </c>
      <c r="J72" s="22">
        <v>0</v>
      </c>
      <c r="K72" s="25">
        <v>0</v>
      </c>
      <c r="L72" s="22">
        <v>2.1518333620244449E-4</v>
      </c>
      <c r="M72" s="25">
        <v>2.9930162953109411E-4</v>
      </c>
      <c r="N72" s="19">
        <v>2.3905858728327845E-5</v>
      </c>
      <c r="O72" s="19">
        <v>1.0979983253550723E-3</v>
      </c>
      <c r="P72" s="16">
        <v>9.0531679621318916E-5</v>
      </c>
      <c r="Q72" s="19">
        <v>3.2026475219514797E-4</v>
      </c>
      <c r="R72" s="16">
        <v>1.5710021565575061E-4</v>
      </c>
      <c r="S72" s="25">
        <v>3.2202592952784557E-5</v>
      </c>
      <c r="T72" s="22">
        <v>1.2383744439951475E-3</v>
      </c>
      <c r="U72" s="25">
        <v>6.366182836771072E-6</v>
      </c>
      <c r="V72" s="22">
        <v>1.2603109187036441E-5</v>
      </c>
      <c r="W72" s="25">
        <v>0</v>
      </c>
    </row>
    <row r="73" spans="1:23" x14ac:dyDescent="0.2">
      <c r="A73" s="6" t="s">
        <v>502</v>
      </c>
      <c r="B73" s="19">
        <v>0</v>
      </c>
      <c r="C73" s="16">
        <v>0</v>
      </c>
      <c r="D73" s="19">
        <v>1.4212115828744005E-5</v>
      </c>
      <c r="E73" s="16">
        <v>2.0378358183609007E-5</v>
      </c>
      <c r="F73" s="19">
        <v>0</v>
      </c>
      <c r="G73" s="16">
        <v>0</v>
      </c>
      <c r="H73" s="22">
        <v>8.4841444392959466E-5</v>
      </c>
      <c r="I73" s="25">
        <v>0</v>
      </c>
      <c r="J73" s="22">
        <v>0</v>
      </c>
      <c r="K73" s="25">
        <v>0</v>
      </c>
      <c r="L73" s="22">
        <v>1.2296190640139685E-5</v>
      </c>
      <c r="M73" s="25">
        <v>0</v>
      </c>
      <c r="N73" s="19">
        <v>0</v>
      </c>
      <c r="O73" s="19">
        <v>0</v>
      </c>
      <c r="P73" s="16">
        <v>3.2332742721899616E-5</v>
      </c>
      <c r="Q73" s="19">
        <v>0</v>
      </c>
      <c r="R73" s="16">
        <v>3.5704594467216042E-5</v>
      </c>
      <c r="S73" s="25">
        <v>0</v>
      </c>
      <c r="T73" s="22">
        <v>3.7909421754953497E-5</v>
      </c>
      <c r="U73" s="25">
        <v>1.9098548510313215E-5</v>
      </c>
      <c r="V73" s="22">
        <v>0</v>
      </c>
      <c r="W73" s="25">
        <v>7.4180919019163407E-5</v>
      </c>
    </row>
    <row r="74" spans="1:23" x14ac:dyDescent="0.2">
      <c r="A74" s="6" t="s">
        <v>501</v>
      </c>
      <c r="B74" s="19">
        <v>1.3221217409699086E-5</v>
      </c>
      <c r="C74" s="16">
        <v>0</v>
      </c>
      <c r="D74" s="19">
        <v>0</v>
      </c>
      <c r="E74" s="16">
        <v>0</v>
      </c>
      <c r="F74" s="19">
        <v>0</v>
      </c>
      <c r="G74" s="16">
        <v>0</v>
      </c>
      <c r="H74" s="22">
        <v>3.2631324766522872E-5</v>
      </c>
      <c r="I74" s="25">
        <v>0</v>
      </c>
      <c r="J74" s="22">
        <v>1.9997333688841487E-5</v>
      </c>
      <c r="K74" s="25">
        <v>0</v>
      </c>
      <c r="L74" s="22">
        <v>0</v>
      </c>
      <c r="M74" s="25">
        <v>0</v>
      </c>
      <c r="N74" s="19">
        <v>0</v>
      </c>
      <c r="O74" s="19">
        <v>3.1597074110937326E-5</v>
      </c>
      <c r="P74" s="16">
        <v>0</v>
      </c>
      <c r="Q74" s="19">
        <v>4.0033094024393497E-5</v>
      </c>
      <c r="R74" s="16">
        <v>1.0711378340164813E-4</v>
      </c>
      <c r="S74" s="25">
        <v>0</v>
      </c>
      <c r="T74" s="22">
        <v>0</v>
      </c>
      <c r="U74" s="25">
        <v>1.9098548510313215E-5</v>
      </c>
      <c r="V74" s="22">
        <v>1.2603109187036441E-5</v>
      </c>
      <c r="W74" s="25">
        <v>0</v>
      </c>
    </row>
    <row r="75" spans="1:23" x14ac:dyDescent="0.2">
      <c r="A75" s="6" t="s">
        <v>500</v>
      </c>
      <c r="B75" s="19">
        <v>0</v>
      </c>
      <c r="C75" s="16">
        <v>0</v>
      </c>
      <c r="D75" s="19">
        <v>1.4212115828744005E-5</v>
      </c>
      <c r="E75" s="16">
        <v>9.5099004856842026E-5</v>
      </c>
      <c r="F75" s="19">
        <v>2.4413131212951166E-4</v>
      </c>
      <c r="G75" s="16">
        <v>1.2914557288976134E-4</v>
      </c>
      <c r="H75" s="22">
        <v>1.8926168364583266E-4</v>
      </c>
      <c r="I75" s="25">
        <v>8.3711106532042043E-5</v>
      </c>
      <c r="J75" s="22">
        <v>5.3326223170243967E-5</v>
      </c>
      <c r="K75" s="25">
        <v>0</v>
      </c>
      <c r="L75" s="22">
        <v>2.459238128027937E-5</v>
      </c>
      <c r="M75" s="25">
        <v>7.3162620552045231E-5</v>
      </c>
      <c r="N75" s="19">
        <v>0</v>
      </c>
      <c r="O75" s="19">
        <v>0</v>
      </c>
      <c r="P75" s="16">
        <v>0</v>
      </c>
      <c r="Q75" s="19">
        <v>0</v>
      </c>
      <c r="R75" s="16">
        <v>0</v>
      </c>
      <c r="S75" s="25">
        <v>3.2202592952784557E-5</v>
      </c>
      <c r="T75" s="22">
        <v>3.7909421754953497E-5</v>
      </c>
      <c r="U75" s="25">
        <v>5.0929462694168569E-5</v>
      </c>
      <c r="V75" s="22">
        <v>2.5206218374072882E-5</v>
      </c>
      <c r="W75" s="25">
        <v>3.2969297341850403E-5</v>
      </c>
    </row>
    <row r="76" spans="1:23" x14ac:dyDescent="0.2">
      <c r="A76" s="6" t="s">
        <v>499</v>
      </c>
      <c r="B76" s="19">
        <v>0</v>
      </c>
      <c r="C76" s="16">
        <v>0</v>
      </c>
      <c r="D76" s="19">
        <v>0</v>
      </c>
      <c r="E76" s="16">
        <v>0</v>
      </c>
      <c r="F76" s="19">
        <v>0</v>
      </c>
      <c r="G76" s="16">
        <v>0</v>
      </c>
      <c r="H76" s="22">
        <v>0</v>
      </c>
      <c r="I76" s="25">
        <v>1.931794766124047E-5</v>
      </c>
      <c r="J76" s="22">
        <v>0</v>
      </c>
      <c r="K76" s="25">
        <v>0</v>
      </c>
      <c r="L76" s="22">
        <v>0</v>
      </c>
      <c r="M76" s="25">
        <v>0</v>
      </c>
      <c r="N76" s="19">
        <v>0</v>
      </c>
      <c r="O76" s="19">
        <v>0</v>
      </c>
      <c r="P76" s="16">
        <v>0</v>
      </c>
      <c r="Q76" s="19">
        <v>0</v>
      </c>
      <c r="R76" s="16">
        <v>0</v>
      </c>
      <c r="S76" s="25">
        <v>0</v>
      </c>
      <c r="T76" s="22">
        <v>0</v>
      </c>
      <c r="U76" s="25">
        <v>0</v>
      </c>
      <c r="V76" s="22">
        <v>0</v>
      </c>
      <c r="W76" s="25">
        <v>0</v>
      </c>
    </row>
    <row r="77" spans="1:23" x14ac:dyDescent="0.2">
      <c r="A77" s="6" t="s">
        <v>498</v>
      </c>
      <c r="B77" s="19">
        <v>5.9495478343645881E-5</v>
      </c>
      <c r="C77" s="16">
        <v>0</v>
      </c>
      <c r="D77" s="19">
        <v>6.3954521229348018E-5</v>
      </c>
      <c r="E77" s="16">
        <v>1.1547736304045105E-4</v>
      </c>
      <c r="F77" s="19">
        <v>9.1549242048566873E-5</v>
      </c>
      <c r="G77" s="16">
        <v>2.5829114577952269E-4</v>
      </c>
      <c r="H77" s="22">
        <v>2.3494553831896468E-4</v>
      </c>
      <c r="I77" s="25">
        <v>3.8635895322480941E-5</v>
      </c>
      <c r="J77" s="22">
        <v>5.9992001066524464E-5</v>
      </c>
      <c r="K77" s="25">
        <v>1.3405185125606584E-5</v>
      </c>
      <c r="L77" s="22">
        <v>6.1480953200698427E-5</v>
      </c>
      <c r="M77" s="25">
        <v>0</v>
      </c>
      <c r="N77" s="19">
        <v>1.4941161705204903E-4</v>
      </c>
      <c r="O77" s="19">
        <v>0</v>
      </c>
      <c r="P77" s="16">
        <v>0</v>
      </c>
      <c r="Q77" s="19">
        <v>0</v>
      </c>
      <c r="R77" s="16">
        <v>0</v>
      </c>
      <c r="S77" s="25">
        <v>1.9321555771670734E-5</v>
      </c>
      <c r="T77" s="22">
        <v>0</v>
      </c>
      <c r="U77" s="25">
        <v>0</v>
      </c>
      <c r="V77" s="22">
        <v>3.1507772967591106E-5</v>
      </c>
      <c r="W77" s="25">
        <v>3.2969297341850403E-5</v>
      </c>
    </row>
    <row r="78" spans="1:23" x14ac:dyDescent="0.2">
      <c r="A78" s="6" t="s">
        <v>497</v>
      </c>
      <c r="B78" s="19">
        <v>0</v>
      </c>
      <c r="C78" s="16">
        <v>0</v>
      </c>
      <c r="D78" s="19">
        <v>0</v>
      </c>
      <c r="E78" s="16">
        <v>0</v>
      </c>
      <c r="F78" s="19">
        <v>0</v>
      </c>
      <c r="G78" s="16">
        <v>0</v>
      </c>
      <c r="H78" s="22">
        <v>0</v>
      </c>
      <c r="I78" s="25">
        <v>1.931794766124047E-5</v>
      </c>
      <c r="J78" s="22">
        <v>0</v>
      </c>
      <c r="K78" s="25">
        <v>0</v>
      </c>
      <c r="L78" s="22">
        <v>0</v>
      </c>
      <c r="M78" s="25">
        <v>0</v>
      </c>
      <c r="N78" s="19">
        <v>0</v>
      </c>
      <c r="O78" s="19">
        <v>0</v>
      </c>
      <c r="P78" s="16">
        <v>0</v>
      </c>
      <c r="Q78" s="19">
        <v>0</v>
      </c>
      <c r="R78" s="16">
        <v>0</v>
      </c>
      <c r="S78" s="25">
        <v>0</v>
      </c>
      <c r="T78" s="22">
        <v>0</v>
      </c>
      <c r="U78" s="25">
        <v>0</v>
      </c>
      <c r="V78" s="22">
        <v>0</v>
      </c>
      <c r="W78" s="25">
        <v>0</v>
      </c>
    </row>
    <row r="79" spans="1:23" x14ac:dyDescent="0.2">
      <c r="A79" s="6" t="s">
        <v>496</v>
      </c>
      <c r="B79" s="19">
        <v>0</v>
      </c>
      <c r="C79" s="16">
        <v>0</v>
      </c>
      <c r="D79" s="19">
        <v>0</v>
      </c>
      <c r="E79" s="16">
        <v>0</v>
      </c>
      <c r="F79" s="19">
        <v>0</v>
      </c>
      <c r="G79" s="16">
        <v>0</v>
      </c>
      <c r="H79" s="22">
        <v>0</v>
      </c>
      <c r="I79" s="25">
        <v>0</v>
      </c>
      <c r="J79" s="22">
        <v>6.6657778962804954E-5</v>
      </c>
      <c r="K79" s="25">
        <v>8.7133703316442799E-5</v>
      </c>
      <c r="L79" s="22">
        <v>0</v>
      </c>
      <c r="M79" s="25">
        <v>0</v>
      </c>
      <c r="N79" s="19">
        <v>1.9722333450870473E-4</v>
      </c>
      <c r="O79" s="19">
        <v>0</v>
      </c>
      <c r="P79" s="16">
        <v>0</v>
      </c>
      <c r="Q79" s="19">
        <v>0</v>
      </c>
      <c r="R79" s="16">
        <v>0</v>
      </c>
      <c r="S79" s="25">
        <v>8.3726741677239851E-5</v>
      </c>
      <c r="T79" s="22">
        <v>0</v>
      </c>
      <c r="U79" s="25">
        <v>0</v>
      </c>
      <c r="V79" s="22">
        <v>1.197295372768462E-4</v>
      </c>
      <c r="W79" s="25">
        <v>4.8629713579229344E-4</v>
      </c>
    </row>
    <row r="80" spans="1:23" x14ac:dyDescent="0.2">
      <c r="A80" s="6" t="s">
        <v>495</v>
      </c>
      <c r="B80" s="19">
        <v>0</v>
      </c>
      <c r="C80" s="16">
        <v>0</v>
      </c>
      <c r="D80" s="19">
        <v>1.4922721620181203E-4</v>
      </c>
      <c r="E80" s="16">
        <v>6.1135074550827022E-5</v>
      </c>
      <c r="F80" s="19">
        <v>4.5774621024283436E-5</v>
      </c>
      <c r="G80" s="16">
        <v>2.5829114577952269E-5</v>
      </c>
      <c r="H80" s="22">
        <v>7.8315179439654892E-5</v>
      </c>
      <c r="I80" s="25">
        <v>0</v>
      </c>
      <c r="J80" s="22">
        <v>0</v>
      </c>
      <c r="K80" s="25">
        <v>0</v>
      </c>
      <c r="L80" s="22">
        <v>1.16813811081327E-4</v>
      </c>
      <c r="M80" s="25">
        <v>6.6511473229132029E-5</v>
      </c>
      <c r="N80" s="19">
        <v>0</v>
      </c>
      <c r="O80" s="19">
        <v>0</v>
      </c>
      <c r="P80" s="16">
        <v>0</v>
      </c>
      <c r="Q80" s="19">
        <v>9.3410552723584826E-5</v>
      </c>
      <c r="R80" s="16">
        <v>2.8563675573772835E-5</v>
      </c>
      <c r="S80" s="25">
        <v>0</v>
      </c>
      <c r="T80" s="22">
        <v>6.1918722199757375E-4</v>
      </c>
      <c r="U80" s="25">
        <v>1.2732365673542144E-5</v>
      </c>
      <c r="V80" s="22">
        <v>0</v>
      </c>
      <c r="W80" s="25">
        <v>0</v>
      </c>
    </row>
    <row r="81" spans="1:23" x14ac:dyDescent="0.2">
      <c r="A81" s="6" t="s">
        <v>494</v>
      </c>
      <c r="B81" s="19">
        <v>0</v>
      </c>
      <c r="C81" s="16">
        <v>0</v>
      </c>
      <c r="D81" s="19">
        <v>0</v>
      </c>
      <c r="E81" s="16">
        <v>0</v>
      </c>
      <c r="F81" s="19">
        <v>0</v>
      </c>
      <c r="G81" s="16">
        <v>0</v>
      </c>
      <c r="H81" s="22">
        <v>0</v>
      </c>
      <c r="I81" s="25">
        <v>0</v>
      </c>
      <c r="J81" s="22">
        <v>0</v>
      </c>
      <c r="K81" s="25">
        <v>1.8767259175849217E-4</v>
      </c>
      <c r="L81" s="22">
        <v>5.533285788062858E-5</v>
      </c>
      <c r="M81" s="25">
        <v>8.6464915197871634E-5</v>
      </c>
      <c r="N81" s="19">
        <v>0</v>
      </c>
      <c r="O81" s="19">
        <v>0</v>
      </c>
      <c r="P81" s="16">
        <v>0</v>
      </c>
      <c r="Q81" s="19">
        <v>0</v>
      </c>
      <c r="R81" s="16">
        <v>0</v>
      </c>
      <c r="S81" s="25">
        <v>1.1592933463002441E-4</v>
      </c>
      <c r="T81" s="22">
        <v>7.5818843509906994E-5</v>
      </c>
      <c r="U81" s="25">
        <v>0</v>
      </c>
      <c r="V81" s="22">
        <v>0</v>
      </c>
      <c r="W81" s="25">
        <v>0</v>
      </c>
    </row>
    <row r="82" spans="1:23" x14ac:dyDescent="0.2">
      <c r="A82" s="6" t="s">
        <v>493</v>
      </c>
      <c r="B82" s="19">
        <v>0</v>
      </c>
      <c r="C82" s="16">
        <v>0</v>
      </c>
      <c r="D82" s="19">
        <v>0</v>
      </c>
      <c r="E82" s="16">
        <v>1.3585572122406004E-5</v>
      </c>
      <c r="F82" s="19">
        <v>0</v>
      </c>
      <c r="G82" s="16">
        <v>0</v>
      </c>
      <c r="H82" s="22">
        <v>3.9157589719827446E-5</v>
      </c>
      <c r="I82" s="25">
        <v>9.0150422419122192E-5</v>
      </c>
      <c r="J82" s="22">
        <v>3.9994667377682974E-5</v>
      </c>
      <c r="K82" s="25">
        <v>3.3512962814016462E-5</v>
      </c>
      <c r="L82" s="22">
        <v>0</v>
      </c>
      <c r="M82" s="25">
        <v>1.2637179913535084E-4</v>
      </c>
      <c r="N82" s="19">
        <v>3.7651727497116356E-4</v>
      </c>
      <c r="O82" s="19">
        <v>0</v>
      </c>
      <c r="P82" s="16">
        <v>1.2933097088759846E-5</v>
      </c>
      <c r="Q82" s="19">
        <v>0</v>
      </c>
      <c r="R82" s="16">
        <v>3.5704594467216042E-5</v>
      </c>
      <c r="S82" s="25">
        <v>9.6607778858353671E-5</v>
      </c>
      <c r="T82" s="22">
        <v>1.2004650222401941E-4</v>
      </c>
      <c r="U82" s="25">
        <v>1.4005602240896358E-4</v>
      </c>
      <c r="V82" s="22">
        <v>9.4523318902773305E-5</v>
      </c>
      <c r="W82" s="25">
        <v>0</v>
      </c>
    </row>
    <row r="83" spans="1:23" x14ac:dyDescent="0.2">
      <c r="A83" s="6" t="s">
        <v>492</v>
      </c>
      <c r="B83" s="19">
        <v>0</v>
      </c>
      <c r="C83" s="16">
        <v>0</v>
      </c>
      <c r="D83" s="19">
        <v>5.684846331497602E-5</v>
      </c>
      <c r="E83" s="16">
        <v>0</v>
      </c>
      <c r="F83" s="19">
        <v>0</v>
      </c>
      <c r="G83" s="16">
        <v>0</v>
      </c>
      <c r="H83" s="22">
        <v>0</v>
      </c>
      <c r="I83" s="25">
        <v>1.2878631774160313E-5</v>
      </c>
      <c r="J83" s="22">
        <v>0</v>
      </c>
      <c r="K83" s="25">
        <v>0</v>
      </c>
      <c r="L83" s="22">
        <v>0</v>
      </c>
      <c r="M83" s="25">
        <v>0</v>
      </c>
      <c r="N83" s="19">
        <v>0</v>
      </c>
      <c r="O83" s="19">
        <v>0</v>
      </c>
      <c r="P83" s="16">
        <v>0</v>
      </c>
      <c r="Q83" s="19">
        <v>0</v>
      </c>
      <c r="R83" s="16">
        <v>0</v>
      </c>
      <c r="S83" s="25">
        <v>0</v>
      </c>
      <c r="T83" s="22">
        <v>0</v>
      </c>
      <c r="U83" s="25">
        <v>0</v>
      </c>
      <c r="V83" s="22">
        <v>0</v>
      </c>
      <c r="W83" s="25">
        <v>0</v>
      </c>
    </row>
    <row r="84" spans="1:23" x14ac:dyDescent="0.2">
      <c r="A84" s="6" t="s">
        <v>491</v>
      </c>
      <c r="B84" s="19">
        <v>1.9170765244063673E-3</v>
      </c>
      <c r="C84" s="16">
        <v>2.4237555746378219E-4</v>
      </c>
      <c r="D84" s="19">
        <v>9.1668147095398829E-4</v>
      </c>
      <c r="E84" s="16">
        <v>6.5210746187548824E-4</v>
      </c>
      <c r="F84" s="19">
        <v>3.81455175202362E-5</v>
      </c>
      <c r="G84" s="16">
        <v>0</v>
      </c>
      <c r="H84" s="22">
        <v>1.3770419051472652E-3</v>
      </c>
      <c r="I84" s="25">
        <v>1.4166494951576344E-4</v>
      </c>
      <c r="J84" s="22">
        <v>1.1331822423676844E-4</v>
      </c>
      <c r="K84" s="25">
        <v>0</v>
      </c>
      <c r="L84" s="22">
        <v>5.963652460467746E-4</v>
      </c>
      <c r="M84" s="25">
        <v>2.0618556701030929E-4</v>
      </c>
      <c r="N84" s="19">
        <v>1.9124686982662276E-4</v>
      </c>
      <c r="O84" s="19">
        <v>5.6084806546913757E-4</v>
      </c>
      <c r="P84" s="16">
        <v>4.5912494665097451E-4</v>
      </c>
      <c r="Q84" s="19">
        <v>8.1400624516266777E-4</v>
      </c>
      <c r="R84" s="16">
        <v>2.8563675573772834E-4</v>
      </c>
      <c r="S84" s="25">
        <v>0</v>
      </c>
      <c r="T84" s="22">
        <v>3.4118479579458145E-4</v>
      </c>
      <c r="U84" s="25">
        <v>1.7825311942959001E-4</v>
      </c>
      <c r="V84" s="22">
        <v>7.5618655122218647E-5</v>
      </c>
      <c r="W84" s="25">
        <v>0</v>
      </c>
    </row>
    <row r="85" spans="1:23" x14ac:dyDescent="0.2">
      <c r="A85" s="6" t="s">
        <v>490</v>
      </c>
      <c r="B85" s="19">
        <v>0</v>
      </c>
      <c r="C85" s="16">
        <v>0</v>
      </c>
      <c r="D85" s="19">
        <v>4.9031799609166812E-4</v>
      </c>
      <c r="E85" s="16">
        <v>2.7171144244812008E-4</v>
      </c>
      <c r="F85" s="19">
        <v>0</v>
      </c>
      <c r="G85" s="16">
        <v>0</v>
      </c>
      <c r="H85" s="22">
        <v>1.0442023925287319E-4</v>
      </c>
      <c r="I85" s="25">
        <v>0</v>
      </c>
      <c r="J85" s="22">
        <v>0</v>
      </c>
      <c r="K85" s="25">
        <v>0</v>
      </c>
      <c r="L85" s="22">
        <v>1.2296190640139685E-4</v>
      </c>
      <c r="M85" s="25">
        <v>1.1306950448952444E-4</v>
      </c>
      <c r="N85" s="19">
        <v>0</v>
      </c>
      <c r="O85" s="19">
        <v>2.0538098172109262E-4</v>
      </c>
      <c r="P85" s="16">
        <v>7.1132033988179143E-5</v>
      </c>
      <c r="Q85" s="19">
        <v>1.7347674077237182E-4</v>
      </c>
      <c r="R85" s="16">
        <v>4.2845513360659247E-5</v>
      </c>
      <c r="S85" s="25">
        <v>0</v>
      </c>
      <c r="T85" s="22">
        <v>3.6013950667205819E-4</v>
      </c>
      <c r="U85" s="25">
        <v>0</v>
      </c>
      <c r="V85" s="22">
        <v>3.7809327561109323E-5</v>
      </c>
      <c r="W85" s="25">
        <v>0</v>
      </c>
    </row>
    <row r="86" spans="1:23" x14ac:dyDescent="0.2">
      <c r="A86" s="6" t="s">
        <v>489</v>
      </c>
      <c r="B86" s="19">
        <v>3.5036226135702576E-4</v>
      </c>
      <c r="C86" s="16">
        <v>3.8087587601451481E-4</v>
      </c>
      <c r="D86" s="19">
        <v>1.0801208029845443E-3</v>
      </c>
      <c r="E86" s="16">
        <v>8.6268382977278124E-4</v>
      </c>
      <c r="F86" s="19">
        <v>3.8908427870640923E-4</v>
      </c>
      <c r="G86" s="16">
        <v>8.5236078107242487E-4</v>
      </c>
      <c r="H86" s="22">
        <v>5.2210119626436595E-4</v>
      </c>
      <c r="I86" s="25">
        <v>3.3484442612816812E-4</v>
      </c>
      <c r="J86" s="22">
        <v>9.1321157179042798E-4</v>
      </c>
      <c r="K86" s="25">
        <v>5.1609962733585352E-4</v>
      </c>
      <c r="L86" s="22">
        <v>8.054004869291493E-4</v>
      </c>
      <c r="M86" s="25">
        <v>6.5846358496840702E-4</v>
      </c>
      <c r="N86" s="19">
        <v>0</v>
      </c>
      <c r="O86" s="19">
        <v>8.9261734363397941E-4</v>
      </c>
      <c r="P86" s="16">
        <v>7.3718653405931123E-4</v>
      </c>
      <c r="Q86" s="19">
        <v>7.873175158130721E-4</v>
      </c>
      <c r="R86" s="16">
        <v>1.6923977777460401E-3</v>
      </c>
      <c r="S86" s="25">
        <v>3.7999059684285782E-4</v>
      </c>
      <c r="T86" s="22">
        <v>1.0298726243429034E-3</v>
      </c>
      <c r="U86" s="25">
        <v>4.965622612681436E-4</v>
      </c>
      <c r="V86" s="22">
        <v>1.1531844906138345E-3</v>
      </c>
      <c r="W86" s="25">
        <v>5.6047805481145691E-4</v>
      </c>
    </row>
    <row r="87" spans="1:23" x14ac:dyDescent="0.2">
      <c r="A87" s="6" t="s">
        <v>488</v>
      </c>
      <c r="B87" s="19">
        <v>0</v>
      </c>
      <c r="C87" s="16">
        <v>0</v>
      </c>
      <c r="D87" s="19">
        <v>0</v>
      </c>
      <c r="E87" s="16">
        <v>0</v>
      </c>
      <c r="F87" s="19">
        <v>6.1032828032377915E-5</v>
      </c>
      <c r="G87" s="16">
        <v>1.7219409718634846E-5</v>
      </c>
      <c r="H87" s="22">
        <v>5.8736384579741169E-5</v>
      </c>
      <c r="I87" s="25">
        <v>1.931794766124047E-5</v>
      </c>
      <c r="J87" s="22">
        <v>0</v>
      </c>
      <c r="K87" s="25">
        <v>0</v>
      </c>
      <c r="L87" s="22">
        <v>0</v>
      </c>
      <c r="M87" s="25">
        <v>0</v>
      </c>
      <c r="N87" s="19">
        <v>0</v>
      </c>
      <c r="O87" s="19">
        <v>0</v>
      </c>
      <c r="P87" s="16">
        <v>0</v>
      </c>
      <c r="Q87" s="19">
        <v>2.6688729349595664E-5</v>
      </c>
      <c r="R87" s="16">
        <v>0</v>
      </c>
      <c r="S87" s="25">
        <v>0</v>
      </c>
      <c r="T87" s="22">
        <v>0</v>
      </c>
      <c r="U87" s="25">
        <v>0</v>
      </c>
      <c r="V87" s="22">
        <v>0</v>
      </c>
      <c r="W87" s="25">
        <v>0</v>
      </c>
    </row>
    <row r="88" spans="1:23" x14ac:dyDescent="0.2">
      <c r="A88" s="6" t="s">
        <v>487</v>
      </c>
      <c r="B88" s="19">
        <v>2.1153947855518537E-4</v>
      </c>
      <c r="C88" s="16">
        <v>0</v>
      </c>
      <c r="D88" s="19">
        <v>0</v>
      </c>
      <c r="E88" s="16">
        <v>0</v>
      </c>
      <c r="F88" s="19">
        <v>3.4330965768212575E-4</v>
      </c>
      <c r="G88" s="16">
        <v>0</v>
      </c>
      <c r="H88" s="22">
        <v>0</v>
      </c>
      <c r="I88" s="25">
        <v>0</v>
      </c>
      <c r="J88" s="22">
        <v>0</v>
      </c>
      <c r="K88" s="25">
        <v>0</v>
      </c>
      <c r="L88" s="22">
        <v>0</v>
      </c>
      <c r="M88" s="25">
        <v>0</v>
      </c>
      <c r="N88" s="19">
        <v>0</v>
      </c>
      <c r="O88" s="19">
        <v>3.9496342638671656E-5</v>
      </c>
      <c r="P88" s="16">
        <v>0</v>
      </c>
      <c r="Q88" s="19">
        <v>0</v>
      </c>
      <c r="R88" s="16">
        <v>0</v>
      </c>
      <c r="S88" s="25">
        <v>0</v>
      </c>
      <c r="T88" s="22">
        <v>1.7691063485644965E-4</v>
      </c>
      <c r="U88" s="25">
        <v>0</v>
      </c>
      <c r="V88" s="22">
        <v>0</v>
      </c>
      <c r="W88" s="25">
        <v>0</v>
      </c>
    </row>
    <row r="89" spans="1:23" x14ac:dyDescent="0.2">
      <c r="A89" s="6" t="s">
        <v>486</v>
      </c>
      <c r="B89" s="19">
        <v>2.8425617430853032E-4</v>
      </c>
      <c r="C89" s="16">
        <v>1.9390044597102573E-4</v>
      </c>
      <c r="D89" s="19">
        <v>5.8980280689287625E-4</v>
      </c>
      <c r="E89" s="16">
        <v>4.2794552185578916E-4</v>
      </c>
      <c r="F89" s="19">
        <v>5.3403724528330679E-5</v>
      </c>
      <c r="G89" s="16">
        <v>4.9936288184041053E-4</v>
      </c>
      <c r="H89" s="22">
        <v>1.3705156401939604E-3</v>
      </c>
      <c r="I89" s="25">
        <v>1.107562332577787E-3</v>
      </c>
      <c r="J89" s="22">
        <v>2.3463538194907346E-3</v>
      </c>
      <c r="K89" s="25">
        <v>1.0389018472345103E-3</v>
      </c>
      <c r="L89" s="22">
        <v>1.6599857364188574E-3</v>
      </c>
      <c r="M89" s="25">
        <v>1.0641835716661125E-3</v>
      </c>
      <c r="N89" s="19">
        <v>3.2272909283242589E-4</v>
      </c>
      <c r="O89" s="19">
        <v>4.7395611166405988E-4</v>
      </c>
      <c r="P89" s="16">
        <v>0</v>
      </c>
      <c r="Q89" s="19">
        <v>7.2059569243908294E-4</v>
      </c>
      <c r="R89" s="16">
        <v>5.6413259258201347E-4</v>
      </c>
      <c r="S89" s="25">
        <v>1.2365795693869272E-3</v>
      </c>
      <c r="T89" s="22">
        <v>1.4658309745248686E-3</v>
      </c>
      <c r="U89" s="25">
        <v>1.4005602240896359E-3</v>
      </c>
      <c r="V89" s="22">
        <v>1.3611357921999357E-3</v>
      </c>
      <c r="W89" s="25">
        <v>4.4508551411498042E-4</v>
      </c>
    </row>
    <row r="90" spans="1:23" x14ac:dyDescent="0.2">
      <c r="A90" s="6" t="s">
        <v>485</v>
      </c>
      <c r="B90" s="19">
        <v>0</v>
      </c>
      <c r="C90" s="16">
        <v>0</v>
      </c>
      <c r="D90" s="19">
        <v>0</v>
      </c>
      <c r="E90" s="16">
        <v>0</v>
      </c>
      <c r="F90" s="19">
        <v>0</v>
      </c>
      <c r="G90" s="16">
        <v>0</v>
      </c>
      <c r="H90" s="22">
        <v>2.6105059813218297E-5</v>
      </c>
      <c r="I90" s="25">
        <v>0</v>
      </c>
      <c r="J90" s="22">
        <v>0</v>
      </c>
      <c r="K90" s="25">
        <v>0</v>
      </c>
      <c r="L90" s="22">
        <v>2.459238128027937E-5</v>
      </c>
      <c r="M90" s="25">
        <v>0</v>
      </c>
      <c r="N90" s="19">
        <v>0</v>
      </c>
      <c r="O90" s="19">
        <v>0</v>
      </c>
      <c r="P90" s="16">
        <v>0</v>
      </c>
      <c r="Q90" s="19">
        <v>0</v>
      </c>
      <c r="R90" s="16">
        <v>0</v>
      </c>
      <c r="S90" s="25">
        <v>0</v>
      </c>
      <c r="T90" s="22">
        <v>5.0545895673271327E-5</v>
      </c>
      <c r="U90" s="25">
        <v>0</v>
      </c>
      <c r="V90" s="22">
        <v>0</v>
      </c>
      <c r="W90" s="25">
        <v>0</v>
      </c>
    </row>
    <row r="91" spans="1:23" x14ac:dyDescent="0.2">
      <c r="A91" s="6" t="s">
        <v>484</v>
      </c>
      <c r="B91" s="19">
        <v>3.3053043524247713E-5</v>
      </c>
      <c r="C91" s="16">
        <v>0</v>
      </c>
      <c r="D91" s="19">
        <v>1.5633327411618405E-4</v>
      </c>
      <c r="E91" s="16">
        <v>0</v>
      </c>
      <c r="F91" s="19">
        <v>0</v>
      </c>
      <c r="G91" s="16">
        <v>0</v>
      </c>
      <c r="H91" s="22">
        <v>5.2210119626436595E-5</v>
      </c>
      <c r="I91" s="25">
        <v>0</v>
      </c>
      <c r="J91" s="22">
        <v>0</v>
      </c>
      <c r="K91" s="25">
        <v>0</v>
      </c>
      <c r="L91" s="22">
        <v>6.7629048520768267E-5</v>
      </c>
      <c r="M91" s="25">
        <v>8.6464915197871634E-5</v>
      </c>
      <c r="N91" s="19">
        <v>0</v>
      </c>
      <c r="O91" s="19">
        <v>0</v>
      </c>
      <c r="P91" s="16">
        <v>0</v>
      </c>
      <c r="Q91" s="19">
        <v>2.6688729349595664E-5</v>
      </c>
      <c r="R91" s="16">
        <v>0</v>
      </c>
      <c r="S91" s="25">
        <v>0</v>
      </c>
      <c r="T91" s="22">
        <v>2.4009300444803881E-4</v>
      </c>
      <c r="U91" s="25">
        <v>0</v>
      </c>
      <c r="V91" s="22">
        <v>0</v>
      </c>
      <c r="W91" s="25">
        <v>0</v>
      </c>
    </row>
    <row r="92" spans="1:23" x14ac:dyDescent="0.2">
      <c r="A92" s="6" t="s">
        <v>483</v>
      </c>
      <c r="B92" s="19">
        <v>4.3762229626103976E-3</v>
      </c>
      <c r="C92" s="16">
        <v>2.4237555746378219E-4</v>
      </c>
      <c r="D92" s="19">
        <v>5.0879374666903537E-3</v>
      </c>
      <c r="E92" s="16">
        <v>2.3027544747478181E-3</v>
      </c>
      <c r="F92" s="19">
        <v>4.1731196167138392E-3</v>
      </c>
      <c r="G92" s="16">
        <v>1.7649894961600718E-3</v>
      </c>
      <c r="H92" s="22">
        <v>2.6561898359949618E-3</v>
      </c>
      <c r="I92" s="25">
        <v>0</v>
      </c>
      <c r="J92" s="22">
        <v>1.3998133582189041E-4</v>
      </c>
      <c r="K92" s="25">
        <v>0</v>
      </c>
      <c r="L92" s="22">
        <v>3.8425595750436513E-3</v>
      </c>
      <c r="M92" s="25">
        <v>4.8087795144662457E-3</v>
      </c>
      <c r="N92" s="19">
        <v>3.7950550731220456E-3</v>
      </c>
      <c r="O92" s="19">
        <v>3.8074474303679477E-3</v>
      </c>
      <c r="P92" s="16">
        <v>1.8817656264145575E-3</v>
      </c>
      <c r="Q92" s="19">
        <v>4.6438389068296452E-3</v>
      </c>
      <c r="R92" s="16">
        <v>1.242519887459118E-3</v>
      </c>
      <c r="S92" s="25">
        <v>0</v>
      </c>
      <c r="T92" s="22">
        <v>5.0798625151637668E-3</v>
      </c>
      <c r="U92" s="25">
        <v>1.3050674815380694E-3</v>
      </c>
      <c r="V92" s="22">
        <v>5.6083835882312174E-4</v>
      </c>
      <c r="W92" s="25">
        <v>2.3078508139295282E-4</v>
      </c>
    </row>
    <row r="93" spans="1:23" x14ac:dyDescent="0.2">
      <c r="A93" s="6" t="s">
        <v>482</v>
      </c>
      <c r="B93" s="19">
        <v>7.6683060976254691E-4</v>
      </c>
      <c r="C93" s="16">
        <v>3.116257167391485E-4</v>
      </c>
      <c r="D93" s="19">
        <v>4.9031799609166812E-4</v>
      </c>
      <c r="E93" s="16">
        <v>3.6001766124375915E-4</v>
      </c>
      <c r="F93" s="19">
        <v>4.577462102428344E-4</v>
      </c>
      <c r="G93" s="16">
        <v>6.2850845473017187E-4</v>
      </c>
      <c r="H93" s="22">
        <v>6.9831035000358947E-3</v>
      </c>
      <c r="I93" s="25">
        <v>3.6897280032969298E-3</v>
      </c>
      <c r="J93" s="22">
        <v>3.026263164911345E-3</v>
      </c>
      <c r="K93" s="25">
        <v>2.1180192498458403E-3</v>
      </c>
      <c r="L93" s="22">
        <v>4.9123281607358045E-3</v>
      </c>
      <c r="M93" s="25">
        <v>3.6847356168939137E-3</v>
      </c>
      <c r="N93" s="19">
        <v>9.9209313722560554E-4</v>
      </c>
      <c r="O93" s="19">
        <v>2.2117951877656129E-4</v>
      </c>
      <c r="P93" s="16">
        <v>1.4226406797635829E-4</v>
      </c>
      <c r="Q93" s="19">
        <v>8.273506098374656E-4</v>
      </c>
      <c r="R93" s="16">
        <v>4.3559605250003569E-4</v>
      </c>
      <c r="S93" s="25">
        <v>3.915835303058602E-3</v>
      </c>
      <c r="T93" s="22">
        <v>3.4371209057824505E-3</v>
      </c>
      <c r="U93" s="25">
        <v>6.2324929971988791E-3</v>
      </c>
      <c r="V93" s="22">
        <v>3.6233938912729772E-3</v>
      </c>
      <c r="W93" s="25">
        <v>1.0879868122810634E-3</v>
      </c>
    </row>
    <row r="94" spans="1:23" x14ac:dyDescent="0.2">
      <c r="A94" s="6" t="s">
        <v>481</v>
      </c>
      <c r="B94" s="19">
        <v>0</v>
      </c>
      <c r="C94" s="16">
        <v>2.1467549375363563E-4</v>
      </c>
      <c r="D94" s="19">
        <v>4.2636347486232012E-5</v>
      </c>
      <c r="E94" s="16">
        <v>1.7661243759127806E-4</v>
      </c>
      <c r="F94" s="19">
        <v>3.7382607169831472E-4</v>
      </c>
      <c r="G94" s="16">
        <v>4.4770465268450599E-4</v>
      </c>
      <c r="H94" s="22">
        <v>1.2399903411278691E-4</v>
      </c>
      <c r="I94" s="25">
        <v>5.0870595507933238E-4</v>
      </c>
      <c r="J94" s="22">
        <v>1.2198373550193309E-3</v>
      </c>
      <c r="K94" s="25">
        <v>1.7426740663288556E-3</v>
      </c>
      <c r="L94" s="22">
        <v>1.4755428768167621E-4</v>
      </c>
      <c r="M94" s="25">
        <v>3.3255736614566014E-5</v>
      </c>
      <c r="N94" s="19">
        <v>0</v>
      </c>
      <c r="O94" s="19">
        <v>0</v>
      </c>
      <c r="P94" s="16">
        <v>2.5866194177519687E-4</v>
      </c>
      <c r="Q94" s="19">
        <v>2.8023165817075448E-4</v>
      </c>
      <c r="R94" s="16">
        <v>2.4993216127051226E-4</v>
      </c>
      <c r="S94" s="25">
        <v>2.1511332092460081E-3</v>
      </c>
      <c r="T94" s="22">
        <v>4.6754953497775978E-4</v>
      </c>
      <c r="U94" s="25">
        <v>1.1841100076394194E-3</v>
      </c>
      <c r="V94" s="22">
        <v>7.8139276959625934E-4</v>
      </c>
      <c r="W94" s="25">
        <v>2.8188749227282097E-3</v>
      </c>
    </row>
    <row r="95" spans="1:23" x14ac:dyDescent="0.2">
      <c r="A95" s="6" t="s">
        <v>480</v>
      </c>
      <c r="B95" s="19">
        <v>4.5692527367920038E-2</v>
      </c>
      <c r="C95" s="16">
        <v>1.5962161712971937E-2</v>
      </c>
      <c r="D95" s="19">
        <v>3.1437200213181769E-2</v>
      </c>
      <c r="E95" s="16">
        <v>2.8713106680705092E-2</v>
      </c>
      <c r="F95" s="19">
        <v>3.7085072133173615E-2</v>
      </c>
      <c r="G95" s="16">
        <v>1.7632675551882089E-2</v>
      </c>
      <c r="H95" s="22">
        <v>4.2048725094141322E-2</v>
      </c>
      <c r="I95" s="25">
        <v>3.9073768802802361E-2</v>
      </c>
      <c r="J95" s="22">
        <v>2.0590587921610455E-2</v>
      </c>
      <c r="K95" s="25">
        <v>1.6066114373039491E-2</v>
      </c>
      <c r="L95" s="22">
        <v>6.9965324742394766E-2</v>
      </c>
      <c r="M95" s="25">
        <v>5.8756235450615243E-2</v>
      </c>
      <c r="N95" s="19">
        <v>3.0228958361970558E-2</v>
      </c>
      <c r="O95" s="19">
        <v>2.7995007662290468E-2</v>
      </c>
      <c r="P95" s="16">
        <v>1.4498001836499781E-2</v>
      </c>
      <c r="Q95" s="19">
        <v>2.1084096186180578E-2</v>
      </c>
      <c r="R95" s="16">
        <v>1.4374669732501174E-2</v>
      </c>
      <c r="S95" s="25">
        <v>2.2284194323326918E-2</v>
      </c>
      <c r="T95" s="22">
        <v>4.050621714516775E-2</v>
      </c>
      <c r="U95" s="25">
        <v>5.1483320600967719E-2</v>
      </c>
      <c r="V95" s="22">
        <v>1.3529437712283621E-2</v>
      </c>
      <c r="W95" s="25">
        <v>7.1955491448588522E-3</v>
      </c>
    </row>
    <row r="96" spans="1:23" x14ac:dyDescent="0.2">
      <c r="A96" s="6" t="s">
        <v>479</v>
      </c>
      <c r="B96" s="19">
        <v>6.6634935744883444E-3</v>
      </c>
      <c r="C96" s="16">
        <v>2.7423063073045064E-3</v>
      </c>
      <c r="D96" s="19">
        <v>1.8404689998223489E-3</v>
      </c>
      <c r="E96" s="16">
        <v>6.9965696430390929E-4</v>
      </c>
      <c r="F96" s="19">
        <v>2.8380265035055723E-3</v>
      </c>
      <c r="G96" s="16">
        <v>6.371181595894893E-4</v>
      </c>
      <c r="H96" s="22">
        <v>9.7893974299568615E-5</v>
      </c>
      <c r="I96" s="25">
        <v>1.8030084483824436E-3</v>
      </c>
      <c r="J96" s="22">
        <v>1.6531129182775629E-3</v>
      </c>
      <c r="K96" s="25">
        <v>1.4879755489423309E-3</v>
      </c>
      <c r="L96" s="22">
        <v>3.9962619580453983E-3</v>
      </c>
      <c r="M96" s="25">
        <v>0</v>
      </c>
      <c r="N96" s="19">
        <v>6.2334526634114842E-3</v>
      </c>
      <c r="O96" s="19">
        <v>5.6084806546913757E-4</v>
      </c>
      <c r="P96" s="16">
        <v>3.0974767527579827E-3</v>
      </c>
      <c r="Q96" s="19">
        <v>3.3494355333742567E-3</v>
      </c>
      <c r="R96" s="16">
        <v>6.0483583027463959E-3</v>
      </c>
      <c r="S96" s="25">
        <v>1.771142612403151E-3</v>
      </c>
      <c r="T96" s="22">
        <v>3.0327537403962799E-3</v>
      </c>
      <c r="U96" s="25">
        <v>7.8940667175961287E-4</v>
      </c>
      <c r="V96" s="22">
        <v>6.2385390475830382E-4</v>
      </c>
      <c r="W96" s="25">
        <v>1.9946424891819489E-3</v>
      </c>
    </row>
    <row r="97" spans="1:23" x14ac:dyDescent="0.2">
      <c r="A97" s="6" t="s">
        <v>478</v>
      </c>
      <c r="B97" s="19">
        <v>0</v>
      </c>
      <c r="C97" s="16">
        <v>0</v>
      </c>
      <c r="D97" s="19">
        <v>7.1060579143720015E-5</v>
      </c>
      <c r="E97" s="16">
        <v>0</v>
      </c>
      <c r="F97" s="19">
        <v>0</v>
      </c>
      <c r="G97" s="16">
        <v>0</v>
      </c>
      <c r="H97" s="22">
        <v>0</v>
      </c>
      <c r="I97" s="25">
        <v>0</v>
      </c>
      <c r="J97" s="22">
        <v>0</v>
      </c>
      <c r="K97" s="25">
        <v>0</v>
      </c>
      <c r="L97" s="22">
        <v>0</v>
      </c>
      <c r="M97" s="25">
        <v>0</v>
      </c>
      <c r="N97" s="19">
        <v>0</v>
      </c>
      <c r="O97" s="19">
        <v>0</v>
      </c>
      <c r="P97" s="16">
        <v>0</v>
      </c>
      <c r="Q97" s="19">
        <v>0</v>
      </c>
      <c r="R97" s="16">
        <v>0</v>
      </c>
      <c r="S97" s="25">
        <v>0</v>
      </c>
      <c r="T97" s="22">
        <v>9.4773554387383746E-5</v>
      </c>
      <c r="U97" s="25">
        <v>0</v>
      </c>
      <c r="V97" s="22">
        <v>0</v>
      </c>
      <c r="W97" s="25">
        <v>0</v>
      </c>
    </row>
    <row r="98" spans="1:23" x14ac:dyDescent="0.2">
      <c r="A98" s="6" t="s">
        <v>477</v>
      </c>
      <c r="B98" s="19">
        <v>1.3287323496747581E-3</v>
      </c>
      <c r="C98" s="16">
        <v>1.7312539818841583E-4</v>
      </c>
      <c r="D98" s="19">
        <v>4.6189376443418013E-4</v>
      </c>
      <c r="E98" s="16">
        <v>5.5700845701864624E-4</v>
      </c>
      <c r="F98" s="19">
        <v>9.383797309978105E-4</v>
      </c>
      <c r="G98" s="16">
        <v>5.8545993043358476E-4</v>
      </c>
      <c r="H98" s="22">
        <v>1.5617352033257842E-2</v>
      </c>
      <c r="I98" s="25">
        <v>1.2427879662064703E-3</v>
      </c>
      <c r="J98" s="22">
        <v>1.2998266897746968E-3</v>
      </c>
      <c r="K98" s="25">
        <v>4.3566851658221402E-4</v>
      </c>
      <c r="L98" s="22">
        <v>5.9820967464279569E-3</v>
      </c>
      <c r="M98" s="25">
        <v>9.1120718323910871E-4</v>
      </c>
      <c r="N98" s="19">
        <v>1.1713870776880644E-3</v>
      </c>
      <c r="O98" s="19">
        <v>4.5815757460859123E-4</v>
      </c>
      <c r="P98" s="16">
        <v>3.2332742721899617E-4</v>
      </c>
      <c r="Q98" s="19">
        <v>4.8039712829272196E-4</v>
      </c>
      <c r="R98" s="16">
        <v>1.7138205344263701E-4</v>
      </c>
      <c r="S98" s="25">
        <v>8.6947000972518302E-4</v>
      </c>
      <c r="T98" s="22">
        <v>4.4922664779619903E-3</v>
      </c>
      <c r="U98" s="25">
        <v>1.2923351158645275E-3</v>
      </c>
      <c r="V98" s="22">
        <v>1.2603109187036441E-3</v>
      </c>
      <c r="W98" s="25">
        <v>7.4180919019163407E-5</v>
      </c>
    </row>
    <row r="99" spans="1:23" x14ac:dyDescent="0.2">
      <c r="A99" s="6" t="s">
        <v>476</v>
      </c>
      <c r="B99" s="19">
        <v>7.2716695753344965E-5</v>
      </c>
      <c r="C99" s="16">
        <v>0</v>
      </c>
      <c r="D99" s="19">
        <v>8.5272694972464023E-5</v>
      </c>
      <c r="E99" s="16">
        <v>4.754950242842102E-5</v>
      </c>
      <c r="F99" s="19">
        <v>9.917834555261411E-4</v>
      </c>
      <c r="G99" s="16">
        <v>4.3048524296587115E-5</v>
      </c>
      <c r="H99" s="22">
        <v>2.1536674345905095E-4</v>
      </c>
      <c r="I99" s="25">
        <v>1.931794766124047E-5</v>
      </c>
      <c r="J99" s="22">
        <v>0</v>
      </c>
      <c r="K99" s="25">
        <v>0</v>
      </c>
      <c r="L99" s="22">
        <v>1.16813811081327E-4</v>
      </c>
      <c r="M99" s="25">
        <v>1.2637179913535084E-4</v>
      </c>
      <c r="N99" s="19">
        <v>0</v>
      </c>
      <c r="O99" s="19">
        <v>0</v>
      </c>
      <c r="P99" s="16">
        <v>2.5866194177519691E-5</v>
      </c>
      <c r="Q99" s="19">
        <v>1.6013237609757399E-4</v>
      </c>
      <c r="R99" s="16">
        <v>9.9972864508204916E-5</v>
      </c>
      <c r="S99" s="25">
        <v>4.5083630133898384E-5</v>
      </c>
      <c r="T99" s="22">
        <v>4.2332187626364741E-4</v>
      </c>
      <c r="U99" s="25">
        <v>2.3554876496052968E-4</v>
      </c>
      <c r="V99" s="22">
        <v>2.5206218374072882E-5</v>
      </c>
      <c r="W99" s="25">
        <v>0</v>
      </c>
    </row>
    <row r="100" spans="1:23" x14ac:dyDescent="0.2">
      <c r="A100" s="6" t="s">
        <v>475</v>
      </c>
      <c r="B100" s="19">
        <v>0</v>
      </c>
      <c r="C100" s="16">
        <v>0</v>
      </c>
      <c r="D100" s="19">
        <v>0</v>
      </c>
      <c r="E100" s="16">
        <v>0</v>
      </c>
      <c r="F100" s="19">
        <v>0</v>
      </c>
      <c r="G100" s="16">
        <v>0</v>
      </c>
      <c r="H100" s="22">
        <v>0</v>
      </c>
      <c r="I100" s="25">
        <v>1.2878631774160313E-5</v>
      </c>
      <c r="J100" s="22">
        <v>0</v>
      </c>
      <c r="K100" s="25">
        <v>0</v>
      </c>
      <c r="L100" s="22">
        <v>0</v>
      </c>
      <c r="M100" s="25">
        <v>0</v>
      </c>
      <c r="N100" s="19">
        <v>0</v>
      </c>
      <c r="O100" s="19">
        <v>1.5798537055468663E-5</v>
      </c>
      <c r="P100" s="16">
        <v>0</v>
      </c>
      <c r="Q100" s="19">
        <v>0</v>
      </c>
      <c r="R100" s="16">
        <v>0</v>
      </c>
      <c r="S100" s="25">
        <v>0</v>
      </c>
      <c r="T100" s="22">
        <v>0</v>
      </c>
      <c r="U100" s="25">
        <v>0</v>
      </c>
      <c r="V100" s="22">
        <v>5.0412436748145764E-5</v>
      </c>
      <c r="W100" s="25">
        <v>0</v>
      </c>
    </row>
    <row r="101" spans="1:23" x14ac:dyDescent="0.2">
      <c r="A101" s="6" t="s">
        <v>474</v>
      </c>
      <c r="B101" s="19">
        <v>0</v>
      </c>
      <c r="C101" s="16">
        <v>0</v>
      </c>
      <c r="D101" s="19">
        <v>0</v>
      </c>
      <c r="E101" s="16">
        <v>0</v>
      </c>
      <c r="F101" s="19">
        <v>0</v>
      </c>
      <c r="G101" s="16">
        <v>0</v>
      </c>
      <c r="H101" s="22">
        <v>0</v>
      </c>
      <c r="I101" s="25">
        <v>0</v>
      </c>
      <c r="J101" s="22">
        <v>1.3331555792560992E-5</v>
      </c>
      <c r="K101" s="25">
        <v>2.0107777688409878E-5</v>
      </c>
      <c r="L101" s="22">
        <v>4.3036667240488894E-5</v>
      </c>
      <c r="M101" s="25">
        <v>3.3255736614566014E-5</v>
      </c>
      <c r="N101" s="19">
        <v>0</v>
      </c>
      <c r="O101" s="19">
        <v>0</v>
      </c>
      <c r="P101" s="16">
        <v>0</v>
      </c>
      <c r="Q101" s="19">
        <v>0</v>
      </c>
      <c r="R101" s="16">
        <v>0</v>
      </c>
      <c r="S101" s="25">
        <v>0</v>
      </c>
      <c r="T101" s="22">
        <v>9.4773554387383746E-5</v>
      </c>
      <c r="U101" s="25">
        <v>5.0929462694168576E-5</v>
      </c>
      <c r="V101" s="22">
        <v>5.6713991341663988E-5</v>
      </c>
      <c r="W101" s="25">
        <v>0</v>
      </c>
    </row>
    <row r="102" spans="1:23" x14ac:dyDescent="0.2">
      <c r="A102" s="6" t="s">
        <v>473</v>
      </c>
      <c r="B102" s="19">
        <v>9.717594796128826E-4</v>
      </c>
      <c r="C102" s="16">
        <v>1.038752389130495E-4</v>
      </c>
      <c r="D102" s="19">
        <v>6.1112098063599216E-4</v>
      </c>
      <c r="E102" s="16">
        <v>1.4264850728526305E-4</v>
      </c>
      <c r="F102" s="19">
        <v>2.2658437407020297E-3</v>
      </c>
      <c r="G102" s="16">
        <v>1.5497468746771361E-4</v>
      </c>
      <c r="H102" s="22">
        <v>6.4610023037715283E-4</v>
      </c>
      <c r="I102" s="25">
        <v>3.8635895322480941E-5</v>
      </c>
      <c r="J102" s="22">
        <v>7.3323556859085457E-5</v>
      </c>
      <c r="K102" s="25">
        <v>6.0323333065229637E-5</v>
      </c>
      <c r="L102" s="22">
        <v>7.9925239160907947E-5</v>
      </c>
      <c r="M102" s="25">
        <v>5.9860325906218827E-5</v>
      </c>
      <c r="N102" s="19">
        <v>4.1237606306365531E-4</v>
      </c>
      <c r="O102" s="19">
        <v>9.1631514921718246E-4</v>
      </c>
      <c r="P102" s="16">
        <v>5.8198936899419307E-5</v>
      </c>
      <c r="Q102" s="19">
        <v>6.4052950439029595E-4</v>
      </c>
      <c r="R102" s="16">
        <v>1.8566389122952342E-4</v>
      </c>
      <c r="S102" s="25">
        <v>1.9321555771670734E-5</v>
      </c>
      <c r="T102" s="22">
        <v>0</v>
      </c>
      <c r="U102" s="25">
        <v>4.4563279857397503E-5</v>
      </c>
      <c r="V102" s="22">
        <v>1.8904663780554662E-5</v>
      </c>
      <c r="W102" s="25">
        <v>0</v>
      </c>
    </row>
    <row r="103" spans="1:23" x14ac:dyDescent="0.2">
      <c r="A103" s="6" t="s">
        <v>472</v>
      </c>
      <c r="B103" s="19">
        <v>5.2884869638796342E-5</v>
      </c>
      <c r="C103" s="16">
        <v>0</v>
      </c>
      <c r="D103" s="19">
        <v>7.1060579143720029E-5</v>
      </c>
      <c r="E103" s="16">
        <v>0</v>
      </c>
      <c r="F103" s="19">
        <v>4.5774621024283436E-5</v>
      </c>
      <c r="G103" s="16">
        <v>8.6097048593174229E-5</v>
      </c>
      <c r="H103" s="22">
        <v>0</v>
      </c>
      <c r="I103" s="25">
        <v>0</v>
      </c>
      <c r="J103" s="22">
        <v>0</v>
      </c>
      <c r="K103" s="25">
        <v>0</v>
      </c>
      <c r="L103" s="22">
        <v>0</v>
      </c>
      <c r="M103" s="25">
        <v>3.9906883937479216E-5</v>
      </c>
      <c r="N103" s="19">
        <v>0</v>
      </c>
      <c r="O103" s="19">
        <v>0</v>
      </c>
      <c r="P103" s="16">
        <v>0</v>
      </c>
      <c r="Q103" s="19">
        <v>0</v>
      </c>
      <c r="R103" s="16">
        <v>2.1422756680329623E-5</v>
      </c>
      <c r="S103" s="25">
        <v>0</v>
      </c>
      <c r="T103" s="22">
        <v>6.3182369591589164E-5</v>
      </c>
      <c r="U103" s="25">
        <v>0</v>
      </c>
      <c r="V103" s="22">
        <v>0</v>
      </c>
      <c r="W103" s="25">
        <v>0</v>
      </c>
    </row>
    <row r="104" spans="1:23" x14ac:dyDescent="0.2">
      <c r="A104" s="6" t="s">
        <v>471</v>
      </c>
      <c r="B104" s="19">
        <v>0</v>
      </c>
      <c r="C104" s="16">
        <v>0</v>
      </c>
      <c r="D104" s="19">
        <v>0</v>
      </c>
      <c r="E104" s="16">
        <v>0</v>
      </c>
      <c r="F104" s="19">
        <v>0</v>
      </c>
      <c r="G104" s="16">
        <v>0</v>
      </c>
      <c r="H104" s="22">
        <v>0</v>
      </c>
      <c r="I104" s="25">
        <v>3.2196579435400785E-5</v>
      </c>
      <c r="J104" s="22">
        <v>0</v>
      </c>
      <c r="K104" s="25">
        <v>2.6810370251213168E-5</v>
      </c>
      <c r="L104" s="22">
        <v>0</v>
      </c>
      <c r="M104" s="25">
        <v>0</v>
      </c>
      <c r="N104" s="19">
        <v>0</v>
      </c>
      <c r="O104" s="19">
        <v>0</v>
      </c>
      <c r="P104" s="16">
        <v>0</v>
      </c>
      <c r="Q104" s="19">
        <v>0</v>
      </c>
      <c r="R104" s="16">
        <v>0</v>
      </c>
      <c r="S104" s="25">
        <v>6.4405185905569114E-5</v>
      </c>
      <c r="T104" s="22">
        <v>0</v>
      </c>
      <c r="U104" s="25">
        <v>1.9098548510313215E-5</v>
      </c>
      <c r="V104" s="22">
        <v>0</v>
      </c>
      <c r="W104" s="25">
        <v>1.6484648670925202E-4</v>
      </c>
    </row>
    <row r="105" spans="1:23" x14ac:dyDescent="0.2">
      <c r="A105" s="6" t="s">
        <v>470</v>
      </c>
      <c r="B105" s="19">
        <v>5.4669733989105712E-3</v>
      </c>
      <c r="C105" s="16">
        <v>1.4507908368189246E-2</v>
      </c>
      <c r="D105" s="19">
        <v>7.9516788061822687E-3</v>
      </c>
      <c r="E105" s="16">
        <v>9.9582243657235989E-3</v>
      </c>
      <c r="F105" s="19">
        <v>8.9489384102474107E-3</v>
      </c>
      <c r="G105" s="16">
        <v>1.807177049970727E-2</v>
      </c>
      <c r="H105" s="22">
        <v>3.5894457243175167E-3</v>
      </c>
      <c r="I105" s="25">
        <v>5.7696270348238212E-3</v>
      </c>
      <c r="J105" s="22">
        <v>3.7261698440207974E-3</v>
      </c>
      <c r="K105" s="25">
        <v>4.2628488699428943E-3</v>
      </c>
      <c r="L105" s="22">
        <v>5.7177286476649538E-3</v>
      </c>
      <c r="M105" s="25">
        <v>7.3096109078816087E-3</v>
      </c>
      <c r="N105" s="19">
        <v>5.0082774035846841E-3</v>
      </c>
      <c r="O105" s="19">
        <v>1.128805472613236E-2</v>
      </c>
      <c r="P105" s="16">
        <v>9.7838879476468202E-3</v>
      </c>
      <c r="Q105" s="19">
        <v>1.5706317222237046E-2</v>
      </c>
      <c r="R105" s="16">
        <v>1.5788571673402932E-2</v>
      </c>
      <c r="S105" s="25">
        <v>3.1365325536012157E-3</v>
      </c>
      <c r="T105" s="22">
        <v>9.1803983016579011E-3</v>
      </c>
      <c r="U105" s="25">
        <v>8.4288260758848977E-3</v>
      </c>
      <c r="V105" s="22">
        <v>3.5099659085896487E-3</v>
      </c>
      <c r="W105" s="25">
        <v>5.1019987636513504E-3</v>
      </c>
    </row>
    <row r="106" spans="1:23" x14ac:dyDescent="0.2">
      <c r="A106" s="6" t="s">
        <v>469</v>
      </c>
      <c r="B106" s="19">
        <v>0</v>
      </c>
      <c r="C106" s="16">
        <v>4.8475111492756433E-5</v>
      </c>
      <c r="D106" s="19">
        <v>4.3346953277669214E-4</v>
      </c>
      <c r="E106" s="16">
        <v>2.0378358183609007E-4</v>
      </c>
      <c r="F106" s="19">
        <v>0</v>
      </c>
      <c r="G106" s="16">
        <v>0</v>
      </c>
      <c r="H106" s="22">
        <v>0</v>
      </c>
      <c r="I106" s="25">
        <v>0</v>
      </c>
      <c r="J106" s="22">
        <v>0</v>
      </c>
      <c r="K106" s="25">
        <v>0</v>
      </c>
      <c r="L106" s="22">
        <v>4.918476256055874E-5</v>
      </c>
      <c r="M106" s="25">
        <v>0</v>
      </c>
      <c r="N106" s="19">
        <v>0</v>
      </c>
      <c r="O106" s="19">
        <v>0</v>
      </c>
      <c r="P106" s="16">
        <v>3.2332742721899616E-5</v>
      </c>
      <c r="Q106" s="19">
        <v>0</v>
      </c>
      <c r="R106" s="16">
        <v>0</v>
      </c>
      <c r="S106" s="25">
        <v>0</v>
      </c>
      <c r="T106" s="22">
        <v>5.1177719369187226E-4</v>
      </c>
      <c r="U106" s="25">
        <v>7.6394194041252861E-5</v>
      </c>
      <c r="V106" s="22">
        <v>0</v>
      </c>
      <c r="W106" s="25">
        <v>0</v>
      </c>
    </row>
    <row r="107" spans="1:23" x14ac:dyDescent="0.2">
      <c r="A107" s="6" t="s">
        <v>468</v>
      </c>
      <c r="B107" s="19">
        <v>0</v>
      </c>
      <c r="C107" s="16">
        <v>0</v>
      </c>
      <c r="D107" s="19">
        <v>2.7003020074613607E-4</v>
      </c>
      <c r="E107" s="16">
        <v>0</v>
      </c>
      <c r="F107" s="19">
        <v>0</v>
      </c>
      <c r="G107" s="16">
        <v>0</v>
      </c>
      <c r="H107" s="22">
        <v>0</v>
      </c>
      <c r="I107" s="25">
        <v>0</v>
      </c>
      <c r="J107" s="22">
        <v>0</v>
      </c>
      <c r="K107" s="25">
        <v>0</v>
      </c>
      <c r="L107" s="22">
        <v>0</v>
      </c>
      <c r="M107" s="25">
        <v>0</v>
      </c>
      <c r="N107" s="19">
        <v>0</v>
      </c>
      <c r="O107" s="19">
        <v>0</v>
      </c>
      <c r="P107" s="16">
        <v>0</v>
      </c>
      <c r="Q107" s="19">
        <v>0</v>
      </c>
      <c r="R107" s="16">
        <v>0</v>
      </c>
      <c r="S107" s="25">
        <v>0</v>
      </c>
      <c r="T107" s="22">
        <v>3.7909421754953497E-5</v>
      </c>
      <c r="U107" s="25">
        <v>0</v>
      </c>
      <c r="V107" s="22">
        <v>0</v>
      </c>
      <c r="W107" s="25">
        <v>0</v>
      </c>
    </row>
    <row r="108" spans="1:23" x14ac:dyDescent="0.2">
      <c r="A108" s="6" t="s">
        <v>467</v>
      </c>
      <c r="B108" s="19">
        <v>1.7848643503093765E-3</v>
      </c>
      <c r="C108" s="16">
        <v>2.7700063710146532E-5</v>
      </c>
      <c r="D108" s="19">
        <v>5.5427251732101618E-4</v>
      </c>
      <c r="E108" s="16">
        <v>2.852970145705261E-4</v>
      </c>
      <c r="F108" s="19">
        <v>3.9366174080883755E-3</v>
      </c>
      <c r="G108" s="16">
        <v>5.5102111099631507E-4</v>
      </c>
      <c r="H108" s="22">
        <v>1.0663916933699674E-2</v>
      </c>
      <c r="I108" s="25">
        <v>1.6162682876571194E-3</v>
      </c>
      <c r="J108" s="22">
        <v>9.1321157179042798E-4</v>
      </c>
      <c r="K108" s="25">
        <v>6.032333306522963E-5</v>
      </c>
      <c r="L108" s="22">
        <v>6.2034281779504707E-3</v>
      </c>
      <c r="M108" s="25">
        <v>3.3056202194878615E-3</v>
      </c>
      <c r="N108" s="19">
        <v>5.9167000352611417E-4</v>
      </c>
      <c r="O108" s="19">
        <v>7.0303489896835554E-4</v>
      </c>
      <c r="P108" s="16">
        <v>1.1639787379883861E-4</v>
      </c>
      <c r="Q108" s="19">
        <v>4.2701966959353063E-4</v>
      </c>
      <c r="R108" s="16">
        <v>4.4273697139347889E-4</v>
      </c>
      <c r="S108" s="25">
        <v>5.6676563596900825E-4</v>
      </c>
      <c r="T108" s="22">
        <v>5.2820460978568531E-3</v>
      </c>
      <c r="U108" s="25">
        <v>1.9926152279093456E-3</v>
      </c>
      <c r="V108" s="22">
        <v>9.3263007984069671E-4</v>
      </c>
      <c r="W108" s="25">
        <v>2.9672367607665363E-4</v>
      </c>
    </row>
    <row r="109" spans="1:23" x14ac:dyDescent="0.2">
      <c r="A109" s="6" t="s">
        <v>466</v>
      </c>
      <c r="B109" s="19">
        <v>7.8798455761806604E-3</v>
      </c>
      <c r="C109" s="16">
        <v>1.9320794437827212E-3</v>
      </c>
      <c r="D109" s="19">
        <v>1.3501510037306804E-3</v>
      </c>
      <c r="E109" s="16">
        <v>6.1814353156947326E-4</v>
      </c>
      <c r="F109" s="19">
        <v>3.9595047186005167E-3</v>
      </c>
      <c r="G109" s="16">
        <v>5.5102111099631507E-4</v>
      </c>
      <c r="H109" s="22">
        <v>1.2399903411278691E-4</v>
      </c>
      <c r="I109" s="25">
        <v>6.7612816814341641E-4</v>
      </c>
      <c r="J109" s="22">
        <v>8.9988001599786691E-4</v>
      </c>
      <c r="K109" s="25">
        <v>4.1556073889380409E-4</v>
      </c>
      <c r="L109" s="22">
        <v>1.8198362147406738E-3</v>
      </c>
      <c r="M109" s="25">
        <v>4.6558031260392418E-5</v>
      </c>
      <c r="N109" s="19">
        <v>7.4586279232382886E-3</v>
      </c>
      <c r="O109" s="19">
        <v>3.2387000963710765E-4</v>
      </c>
      <c r="P109" s="16">
        <v>2.3667567672430515E-3</v>
      </c>
      <c r="Q109" s="19">
        <v>1.574635031626144E-3</v>
      </c>
      <c r="R109" s="16">
        <v>3.0206086919264763E-3</v>
      </c>
      <c r="S109" s="25">
        <v>1.0626855674418904E-3</v>
      </c>
      <c r="T109" s="22">
        <v>3.8478063081277803E-3</v>
      </c>
      <c r="U109" s="25">
        <v>1.1586452762923352E-3</v>
      </c>
      <c r="V109" s="22">
        <v>3.5918861183053863E-4</v>
      </c>
      <c r="W109" s="25">
        <v>1.0879868122810634E-3</v>
      </c>
    </row>
    <row r="110" spans="1:23" x14ac:dyDescent="0.2">
      <c r="A110" s="6" t="s">
        <v>465</v>
      </c>
      <c r="B110" s="19">
        <v>0</v>
      </c>
      <c r="C110" s="16">
        <v>0</v>
      </c>
      <c r="D110" s="19">
        <v>0</v>
      </c>
      <c r="E110" s="16">
        <v>0</v>
      </c>
      <c r="F110" s="19">
        <v>0</v>
      </c>
      <c r="G110" s="16">
        <v>0</v>
      </c>
      <c r="H110" s="22">
        <v>2.6105059813218297E-5</v>
      </c>
      <c r="I110" s="25">
        <v>0</v>
      </c>
      <c r="J110" s="22">
        <v>0</v>
      </c>
      <c r="K110" s="25">
        <v>0</v>
      </c>
      <c r="L110" s="22">
        <v>0</v>
      </c>
      <c r="M110" s="25">
        <v>0</v>
      </c>
      <c r="N110" s="19">
        <v>0</v>
      </c>
      <c r="O110" s="19">
        <v>0</v>
      </c>
      <c r="P110" s="16">
        <v>0</v>
      </c>
      <c r="Q110" s="19">
        <v>0</v>
      </c>
      <c r="R110" s="16">
        <v>0</v>
      </c>
      <c r="S110" s="25">
        <v>0</v>
      </c>
      <c r="T110" s="22">
        <v>0</v>
      </c>
      <c r="U110" s="25">
        <v>0</v>
      </c>
      <c r="V110" s="22">
        <v>0</v>
      </c>
      <c r="W110" s="25">
        <v>2.4726973006387802E-5</v>
      </c>
    </row>
    <row r="111" spans="1:23" x14ac:dyDescent="0.2">
      <c r="A111" s="6" t="s">
        <v>464</v>
      </c>
      <c r="B111" s="19">
        <v>4.3630017452006982E-4</v>
      </c>
      <c r="C111" s="16">
        <v>0</v>
      </c>
      <c r="D111" s="19">
        <v>5.684846331497602E-5</v>
      </c>
      <c r="E111" s="16">
        <v>1.0868457697924803E-4</v>
      </c>
      <c r="F111" s="19">
        <v>1.6173699428580148E-3</v>
      </c>
      <c r="G111" s="16">
        <v>1.8080380204566588E-4</v>
      </c>
      <c r="H111" s="22">
        <v>1.0637811873886456E-3</v>
      </c>
      <c r="I111" s="25">
        <v>7.0832474757881719E-5</v>
      </c>
      <c r="J111" s="22">
        <v>0</v>
      </c>
      <c r="K111" s="25">
        <v>1.0053888844204939E-4</v>
      </c>
      <c r="L111" s="22">
        <v>3.258490519637017E-4</v>
      </c>
      <c r="M111" s="25">
        <v>2.3279015630196209E-4</v>
      </c>
      <c r="N111" s="19">
        <v>1.6136454641621294E-4</v>
      </c>
      <c r="O111" s="19">
        <v>4.4235903755312258E-4</v>
      </c>
      <c r="P111" s="16">
        <v>0</v>
      </c>
      <c r="Q111" s="19">
        <v>6.9390696308948728E-4</v>
      </c>
      <c r="R111" s="16">
        <v>3.8560962024593325E-4</v>
      </c>
      <c r="S111" s="25">
        <v>1.0304829744891059E-4</v>
      </c>
      <c r="T111" s="22">
        <v>5.2441366761019005E-4</v>
      </c>
      <c r="U111" s="25">
        <v>2.9284441049146932E-4</v>
      </c>
      <c r="V111" s="22">
        <v>1.8274508321202841E-4</v>
      </c>
      <c r="W111" s="25">
        <v>9.0665567690088609E-5</v>
      </c>
    </row>
    <row r="112" spans="1:23" x14ac:dyDescent="0.2">
      <c r="A112" s="6" t="s">
        <v>463</v>
      </c>
      <c r="B112" s="19">
        <v>8.3756412290443699E-3</v>
      </c>
      <c r="C112" s="16">
        <v>5.1009667322234858E-2</v>
      </c>
      <c r="D112" s="19">
        <v>9.2378752886836044E-3</v>
      </c>
      <c r="E112" s="16">
        <v>1.5331318140135173E-2</v>
      </c>
      <c r="F112" s="19">
        <v>1.4472409347177615E-2</v>
      </c>
      <c r="G112" s="16">
        <v>9.4965044598271185E-3</v>
      </c>
      <c r="H112" s="22">
        <v>5.9845849621802949E-3</v>
      </c>
      <c r="I112" s="25">
        <v>2.9633731712342886E-2</v>
      </c>
      <c r="J112" s="22">
        <v>2.592321023863484E-2</v>
      </c>
      <c r="K112" s="25">
        <v>2.4169548781468674E-2</v>
      </c>
      <c r="L112" s="22">
        <v>1.1798194919214026E-2</v>
      </c>
      <c r="M112" s="25">
        <v>1.2943132690389089E-2</v>
      </c>
      <c r="N112" s="19">
        <v>1.5228032009944836E-2</v>
      </c>
      <c r="O112" s="19">
        <v>1.2046384504794857E-2</v>
      </c>
      <c r="P112" s="16">
        <v>1.9768238900169429E-2</v>
      </c>
      <c r="Q112" s="19">
        <v>1.3224265392724657E-2</v>
      </c>
      <c r="R112" s="16">
        <v>1.2996472386066635E-2</v>
      </c>
      <c r="S112" s="25">
        <v>2.7707110976575838E-2</v>
      </c>
      <c r="T112" s="22">
        <v>1.8828346138293563E-2</v>
      </c>
      <c r="U112" s="25">
        <v>1.3171632289279346E-2</v>
      </c>
      <c r="V112" s="22">
        <v>1.6585691690139962E-2</v>
      </c>
      <c r="W112" s="25">
        <v>3.4716670100968468E-2</v>
      </c>
    </row>
    <row r="113" spans="1:23" x14ac:dyDescent="0.2">
      <c r="A113" s="6" t="s">
        <v>462</v>
      </c>
      <c r="B113" s="19">
        <v>1.1171928711195725E-3</v>
      </c>
      <c r="C113" s="16">
        <v>5.5469377579568423E-3</v>
      </c>
      <c r="D113" s="19">
        <v>8.6054361343044956E-3</v>
      </c>
      <c r="E113" s="16">
        <v>7.0848758618347312E-3</v>
      </c>
      <c r="F113" s="19">
        <v>8.2928355088993499E-3</v>
      </c>
      <c r="G113" s="16">
        <v>2.4537658849054654E-3</v>
      </c>
      <c r="H113" s="22">
        <v>2.5413275728168011E-2</v>
      </c>
      <c r="I113" s="25">
        <v>5.7503090871625796E-3</v>
      </c>
      <c r="J113" s="22">
        <v>1.2205039328089586E-2</v>
      </c>
      <c r="K113" s="25">
        <v>5.3620740502426344E-3</v>
      </c>
      <c r="L113" s="22">
        <v>8.4105943978555441E-3</v>
      </c>
      <c r="M113" s="25">
        <v>1.5543731293648151E-2</v>
      </c>
      <c r="N113" s="19">
        <v>9.7834726845681674E-3</v>
      </c>
      <c r="O113" s="19">
        <v>5.2688121079988012E-3</v>
      </c>
      <c r="P113" s="16">
        <v>1.1051331462345283E-2</v>
      </c>
      <c r="Q113" s="19">
        <v>5.2576796818703461E-3</v>
      </c>
      <c r="R113" s="16">
        <v>5.419957440123393E-3</v>
      </c>
      <c r="S113" s="25">
        <v>6.6015315553208343E-3</v>
      </c>
      <c r="T113" s="22">
        <v>3.8288515972503033E-3</v>
      </c>
      <c r="U113" s="25">
        <v>2.8456837280366699E-3</v>
      </c>
      <c r="V113" s="22">
        <v>1.6497469925830708E-2</v>
      </c>
      <c r="W113" s="25">
        <v>4.6981248712136821E-4</v>
      </c>
    </row>
    <row r="114" spans="1:23" x14ac:dyDescent="0.2">
      <c r="A114" s="6" t="s">
        <v>461</v>
      </c>
      <c r="B114" s="19">
        <v>4.3630017452006982E-4</v>
      </c>
      <c r="C114" s="16">
        <v>1.5235035040580595E-4</v>
      </c>
      <c r="D114" s="19">
        <v>6.5375732812222431E-4</v>
      </c>
      <c r="E114" s="16">
        <v>8.4230547158917223E-4</v>
      </c>
      <c r="F114" s="19">
        <v>1.3961259412406447E-3</v>
      </c>
      <c r="G114" s="16">
        <v>1.4378207115060102E-3</v>
      </c>
      <c r="H114" s="22">
        <v>8.6146697383620392E-4</v>
      </c>
      <c r="I114" s="25">
        <v>2.7045126725736663E-4</v>
      </c>
      <c r="J114" s="22">
        <v>2.5996533795493934E-4</v>
      </c>
      <c r="K114" s="25">
        <v>0</v>
      </c>
      <c r="L114" s="22">
        <v>2.2133143152251432E-4</v>
      </c>
      <c r="M114" s="25">
        <v>4.2567342866644495E-4</v>
      </c>
      <c r="N114" s="19">
        <v>5.0202303329488474E-4</v>
      </c>
      <c r="O114" s="19">
        <v>1.8089324928511619E-3</v>
      </c>
      <c r="P114" s="16">
        <v>2.0692955342015753E-4</v>
      </c>
      <c r="Q114" s="19">
        <v>8.5403933918706126E-4</v>
      </c>
      <c r="R114" s="16">
        <v>3.9275053913937646E-4</v>
      </c>
      <c r="S114" s="25">
        <v>1.2881037181113823E-4</v>
      </c>
      <c r="T114" s="22">
        <v>1.1120097048119692E-3</v>
      </c>
      <c r="U114" s="25">
        <v>4.2016806722689078E-4</v>
      </c>
      <c r="V114" s="22">
        <v>3.2137928426942929E-4</v>
      </c>
      <c r="W114" s="25">
        <v>1.6484648670925202E-5</v>
      </c>
    </row>
    <row r="115" spans="1:23" x14ac:dyDescent="0.2">
      <c r="A115" s="6" t="s">
        <v>460</v>
      </c>
      <c r="B115" s="19">
        <v>1.3221217409699086E-5</v>
      </c>
      <c r="C115" s="16">
        <v>0</v>
      </c>
      <c r="D115" s="19">
        <v>0</v>
      </c>
      <c r="E115" s="16">
        <v>0</v>
      </c>
      <c r="F115" s="19">
        <v>0</v>
      </c>
      <c r="G115" s="16">
        <v>0</v>
      </c>
      <c r="H115" s="22">
        <v>4.3073348691810191E-4</v>
      </c>
      <c r="I115" s="25">
        <v>4.9582732330517203E-4</v>
      </c>
      <c r="J115" s="22">
        <v>0</v>
      </c>
      <c r="K115" s="25">
        <v>0</v>
      </c>
      <c r="L115" s="22">
        <v>0</v>
      </c>
      <c r="M115" s="25">
        <v>0</v>
      </c>
      <c r="N115" s="19">
        <v>0</v>
      </c>
      <c r="O115" s="19">
        <v>0</v>
      </c>
      <c r="P115" s="16">
        <v>0</v>
      </c>
      <c r="Q115" s="19">
        <v>2.6688729349595664E-5</v>
      </c>
      <c r="R115" s="16">
        <v>0</v>
      </c>
      <c r="S115" s="25">
        <v>1.1592933463002441E-4</v>
      </c>
      <c r="T115" s="22">
        <v>1.137282652648605E-4</v>
      </c>
      <c r="U115" s="25">
        <v>0</v>
      </c>
      <c r="V115" s="22">
        <v>0</v>
      </c>
      <c r="W115" s="25">
        <v>0</v>
      </c>
    </row>
    <row r="116" spans="1:23" x14ac:dyDescent="0.2">
      <c r="A116" s="6" t="s">
        <v>459</v>
      </c>
      <c r="B116" s="19">
        <v>0</v>
      </c>
      <c r="C116" s="16">
        <v>0</v>
      </c>
      <c r="D116" s="19">
        <v>9.9484810801208032E-5</v>
      </c>
      <c r="E116" s="16">
        <v>0</v>
      </c>
      <c r="F116" s="19">
        <v>0</v>
      </c>
      <c r="G116" s="16">
        <v>0</v>
      </c>
      <c r="H116" s="22">
        <v>0</v>
      </c>
      <c r="I116" s="25">
        <v>0</v>
      </c>
      <c r="J116" s="22">
        <v>0</v>
      </c>
      <c r="K116" s="25">
        <v>0</v>
      </c>
      <c r="L116" s="22">
        <v>0</v>
      </c>
      <c r="M116" s="25">
        <v>2.660458929165281E-5</v>
      </c>
      <c r="N116" s="19">
        <v>0</v>
      </c>
      <c r="O116" s="19">
        <v>0</v>
      </c>
      <c r="P116" s="16">
        <v>7.1132033988179143E-5</v>
      </c>
      <c r="Q116" s="19">
        <v>0</v>
      </c>
      <c r="R116" s="16">
        <v>0</v>
      </c>
      <c r="S116" s="25">
        <v>0</v>
      </c>
      <c r="T116" s="22">
        <v>0</v>
      </c>
      <c r="U116" s="25">
        <v>0</v>
      </c>
      <c r="V116" s="22">
        <v>0</v>
      </c>
      <c r="W116" s="25">
        <v>0</v>
      </c>
    </row>
    <row r="117" spans="1:23" x14ac:dyDescent="0.2">
      <c r="A117" s="6" t="s">
        <v>458</v>
      </c>
      <c r="B117" s="19">
        <v>4.5613200063461838E-4</v>
      </c>
      <c r="C117" s="16">
        <v>2.0082546189856236E-4</v>
      </c>
      <c r="D117" s="19">
        <v>8.5272694972464023E-5</v>
      </c>
      <c r="E117" s="16">
        <v>6.0455795944706729E-4</v>
      </c>
      <c r="F117" s="19">
        <v>6.8661931536425161E-4</v>
      </c>
      <c r="G117" s="16">
        <v>2.1093776905327681E-3</v>
      </c>
      <c r="H117" s="22">
        <v>1.2138852813146509E-3</v>
      </c>
      <c r="I117" s="25">
        <v>8.9506490830414164E-4</v>
      </c>
      <c r="J117" s="22">
        <v>1.5531262498333553E-3</v>
      </c>
      <c r="K117" s="25">
        <v>2.6140110994932842E-4</v>
      </c>
      <c r="L117" s="22">
        <v>1.8874652632614424E-3</v>
      </c>
      <c r="M117" s="25">
        <v>2.567342866644496E-3</v>
      </c>
      <c r="N117" s="19">
        <v>8.1279919676314669E-4</v>
      </c>
      <c r="O117" s="19">
        <v>1.9511193263503802E-3</v>
      </c>
      <c r="P117" s="16">
        <v>4.5912494665097451E-4</v>
      </c>
      <c r="Q117" s="19">
        <v>6.5387386906509378E-4</v>
      </c>
      <c r="R117" s="16">
        <v>9.2117853725417369E-4</v>
      </c>
      <c r="S117" s="25">
        <v>5.4100356160678069E-4</v>
      </c>
      <c r="T117" s="22">
        <v>4.0436716538617056E-3</v>
      </c>
      <c r="U117" s="25">
        <v>2.4764451235039465E-3</v>
      </c>
      <c r="V117" s="22">
        <v>1.5501824300054826E-3</v>
      </c>
      <c r="W117" s="25">
        <v>8.2423243354626008E-5</v>
      </c>
    </row>
    <row r="118" spans="1:23" x14ac:dyDescent="0.2">
      <c r="A118" s="6" t="s">
        <v>457</v>
      </c>
      <c r="B118" s="19">
        <v>0</v>
      </c>
      <c r="C118" s="16">
        <v>0</v>
      </c>
      <c r="D118" s="19">
        <v>0</v>
      </c>
      <c r="E118" s="16">
        <v>0</v>
      </c>
      <c r="F118" s="19">
        <v>0</v>
      </c>
      <c r="G118" s="16">
        <v>0</v>
      </c>
      <c r="H118" s="22">
        <v>0</v>
      </c>
      <c r="I118" s="25">
        <v>0</v>
      </c>
      <c r="J118" s="22">
        <v>0</v>
      </c>
      <c r="K118" s="25">
        <v>0</v>
      </c>
      <c r="L118" s="22">
        <v>0</v>
      </c>
      <c r="M118" s="25">
        <v>0</v>
      </c>
      <c r="N118" s="19">
        <v>0</v>
      </c>
      <c r="O118" s="19">
        <v>0</v>
      </c>
      <c r="P118" s="16">
        <v>0</v>
      </c>
      <c r="Q118" s="19">
        <v>0</v>
      </c>
      <c r="R118" s="16">
        <v>0</v>
      </c>
      <c r="S118" s="25">
        <v>0</v>
      </c>
      <c r="T118" s="22">
        <v>4.4227658714112412E-5</v>
      </c>
      <c r="U118" s="25">
        <v>0</v>
      </c>
      <c r="V118" s="22">
        <v>0</v>
      </c>
      <c r="W118" s="25">
        <v>0</v>
      </c>
    </row>
    <row r="119" spans="1:23" x14ac:dyDescent="0.2">
      <c r="A119" s="6" t="s">
        <v>456</v>
      </c>
      <c r="B119" s="19">
        <v>0</v>
      </c>
      <c r="C119" s="16">
        <v>0</v>
      </c>
      <c r="D119" s="19">
        <v>0</v>
      </c>
      <c r="E119" s="16">
        <v>0</v>
      </c>
      <c r="F119" s="19">
        <v>0</v>
      </c>
      <c r="G119" s="16">
        <v>0</v>
      </c>
      <c r="H119" s="22">
        <v>0</v>
      </c>
      <c r="I119" s="25">
        <v>0</v>
      </c>
      <c r="J119" s="22">
        <v>0</v>
      </c>
      <c r="K119" s="25">
        <v>0</v>
      </c>
      <c r="L119" s="22">
        <v>0</v>
      </c>
      <c r="M119" s="25">
        <v>0</v>
      </c>
      <c r="N119" s="19">
        <v>0</v>
      </c>
      <c r="O119" s="19">
        <v>0</v>
      </c>
      <c r="P119" s="16">
        <v>0</v>
      </c>
      <c r="Q119" s="19">
        <v>0</v>
      </c>
      <c r="R119" s="16">
        <v>0</v>
      </c>
      <c r="S119" s="25">
        <v>0</v>
      </c>
      <c r="T119" s="22">
        <v>1.2636473918317832E-5</v>
      </c>
      <c r="U119" s="25">
        <v>0</v>
      </c>
      <c r="V119" s="22">
        <v>0</v>
      </c>
      <c r="W119" s="25">
        <v>0</v>
      </c>
    </row>
    <row r="120" spans="1:23" x14ac:dyDescent="0.2">
      <c r="A120" s="6" t="s">
        <v>455</v>
      </c>
      <c r="B120" s="19">
        <v>0</v>
      </c>
      <c r="C120" s="16">
        <v>0</v>
      </c>
      <c r="D120" s="19">
        <v>0</v>
      </c>
      <c r="E120" s="16">
        <v>1.3585572122406004E-5</v>
      </c>
      <c r="F120" s="19">
        <v>0</v>
      </c>
      <c r="G120" s="16">
        <v>0</v>
      </c>
      <c r="H120" s="22">
        <v>0</v>
      </c>
      <c r="I120" s="25">
        <v>4.5075211209561096E-5</v>
      </c>
      <c r="J120" s="22">
        <v>0</v>
      </c>
      <c r="K120" s="25">
        <v>0</v>
      </c>
      <c r="L120" s="22">
        <v>0</v>
      </c>
      <c r="M120" s="25">
        <v>0</v>
      </c>
      <c r="N120" s="19">
        <v>0</v>
      </c>
      <c r="O120" s="19">
        <v>0</v>
      </c>
      <c r="P120" s="16">
        <v>0</v>
      </c>
      <c r="Q120" s="19">
        <v>0</v>
      </c>
      <c r="R120" s="16">
        <v>0</v>
      </c>
      <c r="S120" s="25">
        <v>7.0845704496126031E-5</v>
      </c>
      <c r="T120" s="22">
        <v>0</v>
      </c>
      <c r="U120" s="25">
        <v>0</v>
      </c>
      <c r="V120" s="22">
        <v>0</v>
      </c>
      <c r="W120" s="25">
        <v>0</v>
      </c>
    </row>
    <row r="121" spans="1:23" x14ac:dyDescent="0.2">
      <c r="A121" s="6" t="s">
        <v>454</v>
      </c>
      <c r="B121" s="19">
        <v>1.1674334972764292E-2</v>
      </c>
      <c r="C121" s="16">
        <v>5.6715880446525022E-3</v>
      </c>
      <c r="D121" s="19">
        <v>2.4373778646295968E-3</v>
      </c>
      <c r="E121" s="16">
        <v>2.1804843256461636E-3</v>
      </c>
      <c r="F121" s="19">
        <v>1.5944826323458731E-3</v>
      </c>
      <c r="G121" s="16">
        <v>8.6958019079105971E-4</v>
      </c>
      <c r="H121" s="22">
        <v>7.6161512005064385E-3</v>
      </c>
      <c r="I121" s="25">
        <v>1.853235112301669E-2</v>
      </c>
      <c r="J121" s="22">
        <v>4.8993467537661647E-3</v>
      </c>
      <c r="K121" s="25">
        <v>7.59403737365613E-3</v>
      </c>
      <c r="L121" s="22">
        <v>1.0316503947077196E-2</v>
      </c>
      <c r="M121" s="25">
        <v>1.3714665779847023E-2</v>
      </c>
      <c r="N121" s="19">
        <v>5.8210766003478302E-3</v>
      </c>
      <c r="O121" s="19">
        <v>2.7252476420683448E-3</v>
      </c>
      <c r="P121" s="16">
        <v>5.108573350060139E-4</v>
      </c>
      <c r="Q121" s="19">
        <v>1.2944033734553898E-3</v>
      </c>
      <c r="R121" s="16">
        <v>1.1282651851640269E-3</v>
      </c>
      <c r="S121" s="25">
        <v>9.4804433652997747E-3</v>
      </c>
      <c r="T121" s="22">
        <v>1.52711787302871E-2</v>
      </c>
      <c r="U121" s="25">
        <v>1.8964858670741019E-2</v>
      </c>
      <c r="V121" s="22">
        <v>6.1944281654284115E-3</v>
      </c>
      <c r="W121" s="25">
        <v>2.9589944364310735E-3</v>
      </c>
    </row>
    <row r="122" spans="1:23" x14ac:dyDescent="0.2">
      <c r="A122" s="6" t="s">
        <v>453</v>
      </c>
      <c r="B122" s="19">
        <v>4.6274260933946802E-4</v>
      </c>
      <c r="C122" s="16">
        <v>5.5400127420293072E-5</v>
      </c>
      <c r="D122" s="19">
        <v>4.2636347486232012E-4</v>
      </c>
      <c r="E122" s="16">
        <v>2.7171144244812008E-4</v>
      </c>
      <c r="F122" s="19">
        <v>2.04459973908466E-3</v>
      </c>
      <c r="G122" s="16">
        <v>6.4572786444880672E-4</v>
      </c>
      <c r="H122" s="22">
        <v>1.5401985289798794E-3</v>
      </c>
      <c r="I122" s="25">
        <v>1.931794766124047E-5</v>
      </c>
      <c r="J122" s="22">
        <v>1.7997600319957338E-4</v>
      </c>
      <c r="K122" s="25">
        <v>4.6918147939623043E-5</v>
      </c>
      <c r="L122" s="22">
        <v>4.9184762560558742E-4</v>
      </c>
      <c r="M122" s="25">
        <v>2.726970402394413E-4</v>
      </c>
      <c r="N122" s="19">
        <v>4.6018778052031101E-4</v>
      </c>
      <c r="O122" s="19">
        <v>1.8089324928511619E-3</v>
      </c>
      <c r="P122" s="16">
        <v>1.2933097088759846E-4</v>
      </c>
      <c r="Q122" s="19">
        <v>8.9407243321145476E-4</v>
      </c>
      <c r="R122" s="16">
        <v>3.7132778245904685E-4</v>
      </c>
      <c r="S122" s="25">
        <v>0</v>
      </c>
      <c r="T122" s="22">
        <v>1.0551455721795389E-3</v>
      </c>
      <c r="U122" s="25">
        <v>0</v>
      </c>
      <c r="V122" s="22">
        <v>1.9534819239906486E-4</v>
      </c>
      <c r="W122" s="25">
        <v>0</v>
      </c>
    </row>
    <row r="123" spans="1:23" x14ac:dyDescent="0.2">
      <c r="A123" s="6" t="s">
        <v>452</v>
      </c>
      <c r="B123" s="19">
        <v>2.6442434819398171E-5</v>
      </c>
      <c r="C123" s="16">
        <v>0</v>
      </c>
      <c r="D123" s="19">
        <v>7.8166637058092026E-5</v>
      </c>
      <c r="E123" s="16">
        <v>0</v>
      </c>
      <c r="F123" s="19">
        <v>1.6021117358499203E-4</v>
      </c>
      <c r="G123" s="16">
        <v>2.4107173606088784E-4</v>
      </c>
      <c r="H123" s="22">
        <v>1.9578794859913723E-4</v>
      </c>
      <c r="I123" s="25">
        <v>4.5075211209561096E-5</v>
      </c>
      <c r="J123" s="22">
        <v>3.0662578322890278E-4</v>
      </c>
      <c r="K123" s="25">
        <v>0</v>
      </c>
      <c r="L123" s="22">
        <v>0</v>
      </c>
      <c r="M123" s="25">
        <v>1.0641835716661124E-4</v>
      </c>
      <c r="N123" s="19">
        <v>7.7694040867065501E-5</v>
      </c>
      <c r="O123" s="19">
        <v>0</v>
      </c>
      <c r="P123" s="16">
        <v>0</v>
      </c>
      <c r="Q123" s="19">
        <v>1.3344364674797832E-5</v>
      </c>
      <c r="R123" s="16">
        <v>1.2853654008197773E-4</v>
      </c>
      <c r="S123" s="25">
        <v>1.1592933463002441E-4</v>
      </c>
      <c r="T123" s="22">
        <v>1.7691063485644965E-4</v>
      </c>
      <c r="U123" s="25">
        <v>8.9126559714795006E-5</v>
      </c>
      <c r="V123" s="22">
        <v>1.3863420105740087E-4</v>
      </c>
      <c r="W123" s="25">
        <v>0</v>
      </c>
    </row>
    <row r="124" spans="1:23" x14ac:dyDescent="0.2">
      <c r="A124" s="6" t="s">
        <v>451</v>
      </c>
      <c r="B124" s="19">
        <v>9.7837008831773236E-4</v>
      </c>
      <c r="C124" s="16">
        <v>4.15500955652198E-5</v>
      </c>
      <c r="D124" s="19">
        <v>1.3572570616450525E-3</v>
      </c>
      <c r="E124" s="16">
        <v>1.0460890534252625E-3</v>
      </c>
      <c r="F124" s="19">
        <v>6.7136110835615704E-4</v>
      </c>
      <c r="G124" s="16">
        <v>5.2260908496056758E-3</v>
      </c>
      <c r="H124" s="22">
        <v>1.592408648606316E-3</v>
      </c>
      <c r="I124" s="25">
        <v>9.0150422419122192E-5</v>
      </c>
      <c r="J124" s="22">
        <v>8.5321957072390347E-4</v>
      </c>
      <c r="K124" s="25">
        <v>1.809699991956889E-4</v>
      </c>
      <c r="L124" s="22">
        <v>2.5207190812286356E-4</v>
      </c>
      <c r="M124" s="25">
        <v>1.3302294645826406E-4</v>
      </c>
      <c r="N124" s="19">
        <v>3.9863019429486682E-3</v>
      </c>
      <c r="O124" s="19">
        <v>5.4504952841366886E-3</v>
      </c>
      <c r="P124" s="16">
        <v>1.584304393373081E-3</v>
      </c>
      <c r="Q124" s="19">
        <v>1.9749659718700792E-3</v>
      </c>
      <c r="R124" s="16">
        <v>6.9981005155743436E-4</v>
      </c>
      <c r="S124" s="25">
        <v>1.3525089040169515E-4</v>
      </c>
      <c r="T124" s="22">
        <v>5.3705014152850784E-4</v>
      </c>
      <c r="U124" s="25">
        <v>3.9470333587980649E-4</v>
      </c>
      <c r="V124" s="22">
        <v>1.3296280192323447E-3</v>
      </c>
      <c r="W124" s="25">
        <v>2.8848135174119102E-4</v>
      </c>
    </row>
    <row r="125" spans="1:23" x14ac:dyDescent="0.2">
      <c r="A125" s="6" t="s">
        <v>450</v>
      </c>
      <c r="B125" s="19">
        <v>1.2692368713311121E-3</v>
      </c>
      <c r="C125" s="16">
        <v>3.601008282319049E-4</v>
      </c>
      <c r="D125" s="19">
        <v>4.050453011192041E-4</v>
      </c>
      <c r="E125" s="16">
        <v>3.1926094487654113E-4</v>
      </c>
      <c r="F125" s="19">
        <v>7.9342676442091282E-4</v>
      </c>
      <c r="G125" s="16">
        <v>1.7219409718634846E-4</v>
      </c>
      <c r="H125" s="22">
        <v>9.9851853785559979E-4</v>
      </c>
      <c r="I125" s="25">
        <v>1.3522563362868329E-4</v>
      </c>
      <c r="J125" s="22">
        <v>1.8664178109585388E-4</v>
      </c>
      <c r="K125" s="25">
        <v>0</v>
      </c>
      <c r="L125" s="22">
        <v>9.099181073703367E-4</v>
      </c>
      <c r="M125" s="25">
        <v>8.6464915197871639E-4</v>
      </c>
      <c r="N125" s="19">
        <v>6.2155232693652401E-4</v>
      </c>
      <c r="O125" s="19">
        <v>3.8706415785898224E-4</v>
      </c>
      <c r="P125" s="16">
        <v>2.263291990532973E-4</v>
      </c>
      <c r="Q125" s="19">
        <v>6.5387386906509378E-4</v>
      </c>
      <c r="R125" s="16">
        <v>5.2842799811479745E-4</v>
      </c>
      <c r="S125" s="25">
        <v>5.7964667315012204E-5</v>
      </c>
      <c r="T125" s="22">
        <v>4.1131722604124555E-3</v>
      </c>
      <c r="U125" s="25">
        <v>2.4191494779730074E-4</v>
      </c>
      <c r="V125" s="22">
        <v>6.4275856853885857E-4</v>
      </c>
      <c r="W125" s="25">
        <v>3.2969297341850403E-5</v>
      </c>
    </row>
    <row r="126" spans="1:23" x14ac:dyDescent="0.2">
      <c r="A126" s="6" t="s">
        <v>449</v>
      </c>
      <c r="B126" s="19">
        <v>0</v>
      </c>
      <c r="C126" s="16">
        <v>0</v>
      </c>
      <c r="D126" s="19">
        <v>3.0556049031799613E-4</v>
      </c>
      <c r="E126" s="16">
        <v>1.0189179091804504E-4</v>
      </c>
      <c r="F126" s="19">
        <v>0</v>
      </c>
      <c r="G126" s="16">
        <v>6.8877638874539383E-5</v>
      </c>
      <c r="H126" s="22">
        <v>2.9107141691738399E-3</v>
      </c>
      <c r="I126" s="25">
        <v>2.3181537193488563E-4</v>
      </c>
      <c r="J126" s="22">
        <v>7.9989334755365947E-5</v>
      </c>
      <c r="K126" s="25">
        <v>7.3728518190836211E-5</v>
      </c>
      <c r="L126" s="22">
        <v>2.459238128027937E-5</v>
      </c>
      <c r="M126" s="25">
        <v>1.3967409378117725E-4</v>
      </c>
      <c r="N126" s="19">
        <v>1.4343515236996706E-4</v>
      </c>
      <c r="O126" s="19">
        <v>0</v>
      </c>
      <c r="P126" s="16">
        <v>9.6998228165698841E-5</v>
      </c>
      <c r="Q126" s="19">
        <v>4.9374149296751979E-4</v>
      </c>
      <c r="R126" s="16">
        <v>0</v>
      </c>
      <c r="S126" s="25">
        <v>3.8643111543341469E-4</v>
      </c>
      <c r="T126" s="22">
        <v>1.0298726243429034E-3</v>
      </c>
      <c r="U126" s="25">
        <v>1.9735166793990325E-4</v>
      </c>
      <c r="V126" s="22">
        <v>3.2768083886294748E-4</v>
      </c>
      <c r="W126" s="25">
        <v>5.2750875746960645E-4</v>
      </c>
    </row>
    <row r="127" spans="1:23" x14ac:dyDescent="0.2">
      <c r="A127" s="6" t="s">
        <v>448</v>
      </c>
      <c r="B127" s="19">
        <v>2.0420170289280237E-2</v>
      </c>
      <c r="C127" s="16">
        <v>7.1535414531453401E-3</v>
      </c>
      <c r="D127" s="19">
        <v>8.207496891099661E-3</v>
      </c>
      <c r="E127" s="16">
        <v>1.2410420133817886E-2</v>
      </c>
      <c r="F127" s="19">
        <v>1.9438955728312366E-2</v>
      </c>
      <c r="G127" s="16">
        <v>1.5247787305851156E-2</v>
      </c>
      <c r="H127" s="22">
        <v>2.3213924438904372E-2</v>
      </c>
      <c r="I127" s="25">
        <v>1.995543993406141E-2</v>
      </c>
      <c r="J127" s="22">
        <v>1.0665244634048797E-2</v>
      </c>
      <c r="K127" s="25">
        <v>1.3210809941285293E-2</v>
      </c>
      <c r="L127" s="22">
        <v>2.9160416103091273E-2</v>
      </c>
      <c r="M127" s="25">
        <v>2.4516129032258069E-2</v>
      </c>
      <c r="N127" s="19">
        <v>7.2972633768220727E-3</v>
      </c>
      <c r="O127" s="19">
        <v>1.2038485236267122E-2</v>
      </c>
      <c r="P127" s="16">
        <v>8.9626362825105717E-3</v>
      </c>
      <c r="Q127" s="19">
        <v>1.2330192959513197E-2</v>
      </c>
      <c r="R127" s="16">
        <v>1.311786800725517E-2</v>
      </c>
      <c r="S127" s="25">
        <v>1.3808471858154018E-2</v>
      </c>
      <c r="T127" s="22">
        <v>2.9278710068742393E-2</v>
      </c>
      <c r="U127" s="25">
        <v>1.9372294372294371E-2</v>
      </c>
      <c r="V127" s="22">
        <v>7.5366592938477953E-3</v>
      </c>
      <c r="W127" s="25">
        <v>7.2120337935297745E-3</v>
      </c>
    </row>
    <row r="128" spans="1:23" x14ac:dyDescent="0.2">
      <c r="A128" s="6" t="s">
        <v>447</v>
      </c>
      <c r="B128" s="19">
        <v>0</v>
      </c>
      <c r="C128" s="16">
        <v>0</v>
      </c>
      <c r="D128" s="19">
        <v>0</v>
      </c>
      <c r="E128" s="16">
        <v>0</v>
      </c>
      <c r="F128" s="19">
        <v>0</v>
      </c>
      <c r="G128" s="16">
        <v>0</v>
      </c>
      <c r="H128" s="22">
        <v>0</v>
      </c>
      <c r="I128" s="25">
        <v>0</v>
      </c>
      <c r="J128" s="22">
        <v>0</v>
      </c>
      <c r="K128" s="25">
        <v>0</v>
      </c>
      <c r="L128" s="22">
        <v>0</v>
      </c>
      <c r="M128" s="25">
        <v>0</v>
      </c>
      <c r="N128" s="19">
        <v>1.4343515236996706E-4</v>
      </c>
      <c r="O128" s="19">
        <v>1.3428756497148363E-4</v>
      </c>
      <c r="P128" s="16">
        <v>0</v>
      </c>
      <c r="Q128" s="19">
        <v>0</v>
      </c>
      <c r="R128" s="16">
        <v>0</v>
      </c>
      <c r="S128" s="25">
        <v>0</v>
      </c>
      <c r="T128" s="22">
        <v>1.3268297614233725E-4</v>
      </c>
      <c r="U128" s="25">
        <v>0</v>
      </c>
      <c r="V128" s="22">
        <v>0</v>
      </c>
      <c r="W128" s="25">
        <v>0</v>
      </c>
    </row>
    <row r="129" spans="1:23" x14ac:dyDescent="0.2">
      <c r="A129" s="6" t="s">
        <v>446</v>
      </c>
      <c r="B129" s="19">
        <v>0</v>
      </c>
      <c r="C129" s="16">
        <v>0</v>
      </c>
      <c r="D129" s="19">
        <v>0</v>
      </c>
      <c r="E129" s="16">
        <v>0</v>
      </c>
      <c r="F129" s="19">
        <v>0</v>
      </c>
      <c r="G129" s="16">
        <v>0</v>
      </c>
      <c r="H129" s="22">
        <v>1.5010409392600521E-4</v>
      </c>
      <c r="I129" s="25">
        <v>0</v>
      </c>
      <c r="J129" s="22">
        <v>0</v>
      </c>
      <c r="K129" s="25">
        <v>0</v>
      </c>
      <c r="L129" s="22">
        <v>0</v>
      </c>
      <c r="M129" s="25">
        <v>5.3874293315596942E-4</v>
      </c>
      <c r="N129" s="19">
        <v>0</v>
      </c>
      <c r="O129" s="19">
        <v>0</v>
      </c>
      <c r="P129" s="16">
        <v>0</v>
      </c>
      <c r="Q129" s="19">
        <v>5.3377458699191329E-5</v>
      </c>
      <c r="R129" s="16">
        <v>3.5704594467216042E-5</v>
      </c>
      <c r="S129" s="25">
        <v>0</v>
      </c>
      <c r="T129" s="22">
        <v>1.2636473918317832E-5</v>
      </c>
      <c r="U129" s="25">
        <v>3.1830914183855358E-5</v>
      </c>
      <c r="V129" s="22">
        <v>0</v>
      </c>
      <c r="W129" s="25">
        <v>0</v>
      </c>
    </row>
    <row r="130" spans="1:23" x14ac:dyDescent="0.2">
      <c r="A130" s="6" t="s">
        <v>445</v>
      </c>
      <c r="B130" s="19">
        <v>0</v>
      </c>
      <c r="C130" s="16">
        <v>0</v>
      </c>
      <c r="D130" s="19">
        <v>0</v>
      </c>
      <c r="E130" s="16">
        <v>0</v>
      </c>
      <c r="F130" s="19">
        <v>0</v>
      </c>
      <c r="G130" s="16">
        <v>0</v>
      </c>
      <c r="H130" s="22">
        <v>1.3052529906609149E-5</v>
      </c>
      <c r="I130" s="25">
        <v>1.931794766124047E-5</v>
      </c>
      <c r="J130" s="22">
        <v>0</v>
      </c>
      <c r="K130" s="25">
        <v>0</v>
      </c>
      <c r="L130" s="22">
        <v>0</v>
      </c>
      <c r="M130" s="25">
        <v>0</v>
      </c>
      <c r="N130" s="19">
        <v>1.1952929364163923E-4</v>
      </c>
      <c r="O130" s="19">
        <v>0</v>
      </c>
      <c r="P130" s="16">
        <v>6.4665485443799228E-6</v>
      </c>
      <c r="Q130" s="19">
        <v>6.6721823373989161E-5</v>
      </c>
      <c r="R130" s="16">
        <v>2.1422756680329623E-5</v>
      </c>
      <c r="S130" s="25">
        <v>0</v>
      </c>
      <c r="T130" s="22">
        <v>0</v>
      </c>
      <c r="U130" s="25">
        <v>0</v>
      </c>
      <c r="V130" s="22">
        <v>0</v>
      </c>
      <c r="W130" s="25">
        <v>0</v>
      </c>
    </row>
    <row r="131" spans="1:23" x14ac:dyDescent="0.2">
      <c r="A131" s="6" t="s">
        <v>444</v>
      </c>
      <c r="B131" s="19">
        <v>8.4615791422074163E-3</v>
      </c>
      <c r="C131" s="16">
        <v>1.3136755214536992E-2</v>
      </c>
      <c r="D131" s="19">
        <v>1.0886480724817908E-2</v>
      </c>
      <c r="E131" s="16">
        <v>1.1106205210066906E-2</v>
      </c>
      <c r="F131" s="19">
        <v>1.0017012900814026E-2</v>
      </c>
      <c r="G131" s="16">
        <v>8.8507765953783103E-3</v>
      </c>
      <c r="H131" s="22">
        <v>4.8424885953519941E-3</v>
      </c>
      <c r="I131" s="25">
        <v>5.0934988666804038E-3</v>
      </c>
      <c r="J131" s="22">
        <v>8.2055725903212914E-3</v>
      </c>
      <c r="K131" s="25">
        <v>9.2428751441057388E-3</v>
      </c>
      <c r="L131" s="22">
        <v>4.3405552959693092E-3</v>
      </c>
      <c r="M131" s="25">
        <v>4.1569670768207513E-3</v>
      </c>
      <c r="N131" s="19">
        <v>9.3591436921403488E-3</v>
      </c>
      <c r="O131" s="19">
        <v>7.1646365546550392E-3</v>
      </c>
      <c r="P131" s="16">
        <v>7.9991205493979665E-3</v>
      </c>
      <c r="Q131" s="19">
        <v>1.2103338760041635E-2</v>
      </c>
      <c r="R131" s="16">
        <v>1.0989874177009095E-2</v>
      </c>
      <c r="S131" s="25">
        <v>5.004282944862719E-3</v>
      </c>
      <c r="T131" s="22">
        <v>5.3831378892033989E-3</v>
      </c>
      <c r="U131" s="25">
        <v>7.3083778966131913E-3</v>
      </c>
      <c r="V131" s="22">
        <v>7.6878966040922281E-3</v>
      </c>
      <c r="W131" s="25">
        <v>8.8687409849577577E-3</v>
      </c>
    </row>
    <row r="132" spans="1:23" x14ac:dyDescent="0.2">
      <c r="A132" s="6" t="s">
        <v>443</v>
      </c>
      <c r="B132" s="19">
        <v>7.8335713152467065E-3</v>
      </c>
      <c r="C132" s="16">
        <v>1.2312678319160135E-2</v>
      </c>
      <c r="D132" s="19">
        <v>4.1073014745070177E-3</v>
      </c>
      <c r="E132" s="16">
        <v>6.7927860612030013E-3</v>
      </c>
      <c r="F132" s="19">
        <v>2.952463056066282E-3</v>
      </c>
      <c r="G132" s="16">
        <v>6.620863036815099E-3</v>
      </c>
      <c r="H132" s="22">
        <v>4.7968047406788629E-3</v>
      </c>
      <c r="I132" s="25">
        <v>2.8011024108798681E-3</v>
      </c>
      <c r="J132" s="22">
        <v>3.1729102786295163E-3</v>
      </c>
      <c r="K132" s="25">
        <v>2.0174803614037909E-3</v>
      </c>
      <c r="L132" s="22">
        <v>4.2237414848879818E-3</v>
      </c>
      <c r="M132" s="25">
        <v>4.6092450947788494E-3</v>
      </c>
      <c r="N132" s="19">
        <v>5.9525588233536346E-3</v>
      </c>
      <c r="O132" s="19">
        <v>5.9797462754948901E-3</v>
      </c>
      <c r="P132" s="16">
        <v>6.0720890831727475E-3</v>
      </c>
      <c r="Q132" s="19">
        <v>5.2710240465451445E-3</v>
      </c>
      <c r="R132" s="16">
        <v>5.3485482511889627E-3</v>
      </c>
      <c r="S132" s="25">
        <v>3.1751756651445572E-3</v>
      </c>
      <c r="T132" s="22">
        <v>6.2866457743631235E-3</v>
      </c>
      <c r="U132" s="25">
        <v>4.7619047619047615E-3</v>
      </c>
      <c r="V132" s="22">
        <v>4.7135628359516292E-3</v>
      </c>
      <c r="W132" s="25">
        <v>5.6624768184628058E-3</v>
      </c>
    </row>
    <row r="133" spans="1:23" x14ac:dyDescent="0.2">
      <c r="A133" s="6" t="s">
        <v>442</v>
      </c>
      <c r="B133" s="19">
        <v>1.8509704373578722E-4</v>
      </c>
      <c r="C133" s="16">
        <v>2.0082546189856238E-4</v>
      </c>
      <c r="D133" s="19">
        <v>0</v>
      </c>
      <c r="E133" s="16">
        <v>6.792786061203002E-5</v>
      </c>
      <c r="F133" s="19">
        <v>7.6291035040472401E-5</v>
      </c>
      <c r="G133" s="16">
        <v>2.0663291662361815E-4</v>
      </c>
      <c r="H133" s="22">
        <v>8.0273058925646261E-4</v>
      </c>
      <c r="I133" s="25">
        <v>4.1211621677312996E-4</v>
      </c>
      <c r="J133" s="22">
        <v>7.9989334755365947E-5</v>
      </c>
      <c r="K133" s="25">
        <v>3.1502185045175477E-4</v>
      </c>
      <c r="L133" s="22">
        <v>5.2873619752600643E-4</v>
      </c>
      <c r="M133" s="25">
        <v>3.4585966079148653E-4</v>
      </c>
      <c r="N133" s="19">
        <v>6.6936404439317965E-4</v>
      </c>
      <c r="O133" s="19">
        <v>5.1345245430273157E-4</v>
      </c>
      <c r="P133" s="16">
        <v>9.0531679621318916E-5</v>
      </c>
      <c r="Q133" s="19">
        <v>1.0675491739838266E-4</v>
      </c>
      <c r="R133" s="16">
        <v>2.6421399905739873E-4</v>
      </c>
      <c r="S133" s="25">
        <v>4.508363013389838E-4</v>
      </c>
      <c r="T133" s="22">
        <v>3.475030327537404E-4</v>
      </c>
      <c r="U133" s="25">
        <v>8.2123758594346828E-4</v>
      </c>
      <c r="V133" s="22">
        <v>9.4523318902773305E-5</v>
      </c>
      <c r="W133" s="25">
        <v>8.2423243354626008E-5</v>
      </c>
    </row>
    <row r="134" spans="1:23" x14ac:dyDescent="0.2">
      <c r="A134" s="6" t="s">
        <v>441</v>
      </c>
      <c r="B134" s="19">
        <v>6.1478660955100741E-4</v>
      </c>
      <c r="C134" s="16">
        <v>0</v>
      </c>
      <c r="D134" s="19">
        <v>6.8218155977971219E-4</v>
      </c>
      <c r="E134" s="16">
        <v>2.4454029820330809E-4</v>
      </c>
      <c r="F134" s="19">
        <v>7.3239393638853498E-4</v>
      </c>
      <c r="G134" s="16">
        <v>1.119261631711265E-4</v>
      </c>
      <c r="H134" s="22">
        <v>1.1877802215014325E-3</v>
      </c>
      <c r="I134" s="25">
        <v>1.8030084483824438E-4</v>
      </c>
      <c r="J134" s="22">
        <v>5.9992001066524464E-5</v>
      </c>
      <c r="K134" s="25">
        <v>0</v>
      </c>
      <c r="L134" s="22">
        <v>9.2836239333054626E-4</v>
      </c>
      <c r="M134" s="25">
        <v>7.9813767874958429E-4</v>
      </c>
      <c r="N134" s="19">
        <v>1.374586876878851E-4</v>
      </c>
      <c r="O134" s="19">
        <v>1.1058975938828065E-4</v>
      </c>
      <c r="P134" s="16">
        <v>1.2286442234321854E-4</v>
      </c>
      <c r="Q134" s="19">
        <v>2.9357602284555231E-4</v>
      </c>
      <c r="R134" s="16">
        <v>0</v>
      </c>
      <c r="S134" s="25">
        <v>4.5083630133898384E-5</v>
      </c>
      <c r="T134" s="22">
        <v>1.0804185200161747E-3</v>
      </c>
      <c r="U134" s="25">
        <v>3.7560478736949326E-4</v>
      </c>
      <c r="V134" s="22">
        <v>1.3233264646388265E-4</v>
      </c>
      <c r="W134" s="25">
        <v>4.9453946012775605E-5</v>
      </c>
    </row>
    <row r="135" spans="1:23" x14ac:dyDescent="0.2">
      <c r="A135" s="6" t="s">
        <v>440</v>
      </c>
      <c r="B135" s="19">
        <v>0</v>
      </c>
      <c r="C135" s="16">
        <v>0</v>
      </c>
      <c r="D135" s="19">
        <v>4.2636347486232012E-5</v>
      </c>
      <c r="E135" s="16">
        <v>0</v>
      </c>
      <c r="F135" s="19">
        <v>0</v>
      </c>
      <c r="G135" s="16">
        <v>0</v>
      </c>
      <c r="H135" s="22">
        <v>0</v>
      </c>
      <c r="I135" s="25">
        <v>0</v>
      </c>
      <c r="J135" s="22">
        <v>0</v>
      </c>
      <c r="K135" s="25">
        <v>0</v>
      </c>
      <c r="L135" s="22">
        <v>0</v>
      </c>
      <c r="M135" s="25">
        <v>0</v>
      </c>
      <c r="N135" s="19">
        <v>0</v>
      </c>
      <c r="O135" s="19">
        <v>0</v>
      </c>
      <c r="P135" s="16">
        <v>0</v>
      </c>
      <c r="Q135" s="19">
        <v>0</v>
      </c>
      <c r="R135" s="16">
        <v>0</v>
      </c>
      <c r="S135" s="25">
        <v>0</v>
      </c>
      <c r="T135" s="22">
        <v>0</v>
      </c>
      <c r="U135" s="25">
        <v>0</v>
      </c>
      <c r="V135" s="22">
        <v>0</v>
      </c>
      <c r="W135" s="25">
        <v>0</v>
      </c>
    </row>
    <row r="136" spans="1:23" x14ac:dyDescent="0.2">
      <c r="A136" s="6" t="s">
        <v>439</v>
      </c>
      <c r="B136" s="19">
        <v>3.3053043524247713E-5</v>
      </c>
      <c r="C136" s="16">
        <v>6.2325143347829697E-5</v>
      </c>
      <c r="D136" s="19">
        <v>1.2080298454432404E-4</v>
      </c>
      <c r="E136" s="16">
        <v>0</v>
      </c>
      <c r="F136" s="19">
        <v>0</v>
      </c>
      <c r="G136" s="16">
        <v>2.5829114577952269E-5</v>
      </c>
      <c r="H136" s="22">
        <v>1.0442023925287319E-4</v>
      </c>
      <c r="I136" s="25">
        <v>3.8635895322480941E-5</v>
      </c>
      <c r="J136" s="22">
        <v>3.9994667377682974E-5</v>
      </c>
      <c r="K136" s="25">
        <v>0</v>
      </c>
      <c r="L136" s="22">
        <v>0</v>
      </c>
      <c r="M136" s="25">
        <v>1.1972065181243765E-4</v>
      </c>
      <c r="N136" s="19">
        <v>0</v>
      </c>
      <c r="O136" s="19">
        <v>0</v>
      </c>
      <c r="P136" s="16">
        <v>1.2933097088759846E-4</v>
      </c>
      <c r="Q136" s="19">
        <v>1.0675491739838266E-4</v>
      </c>
      <c r="R136" s="16">
        <v>4.8558248475413817E-4</v>
      </c>
      <c r="S136" s="25">
        <v>0</v>
      </c>
      <c r="T136" s="22">
        <v>1.3900121310149615E-4</v>
      </c>
      <c r="U136" s="25">
        <v>0</v>
      </c>
      <c r="V136" s="22">
        <v>0</v>
      </c>
      <c r="W136" s="25">
        <v>0</v>
      </c>
    </row>
    <row r="137" spans="1:23" x14ac:dyDescent="0.2">
      <c r="A137" s="6" t="s">
        <v>438</v>
      </c>
      <c r="B137" s="19">
        <v>5.9495478343645881E-5</v>
      </c>
      <c r="C137" s="16">
        <v>0</v>
      </c>
      <c r="D137" s="19">
        <v>3.3398472197548407E-4</v>
      </c>
      <c r="E137" s="16">
        <v>2.0378358183609007E-4</v>
      </c>
      <c r="F137" s="19">
        <v>5.3403724528330679E-5</v>
      </c>
      <c r="G137" s="16">
        <v>6.8877638874539383E-5</v>
      </c>
      <c r="H137" s="22">
        <v>1.4357782897270064E-4</v>
      </c>
      <c r="I137" s="25">
        <v>1.6742221306408406E-4</v>
      </c>
      <c r="J137" s="22">
        <v>9.332089054792694E-5</v>
      </c>
      <c r="K137" s="25">
        <v>1.3405185125606585E-4</v>
      </c>
      <c r="L137" s="22">
        <v>0</v>
      </c>
      <c r="M137" s="25">
        <v>0</v>
      </c>
      <c r="N137" s="19">
        <v>1.8527040514454079E-4</v>
      </c>
      <c r="O137" s="19">
        <v>8.2152392688437047E-4</v>
      </c>
      <c r="P137" s="16">
        <v>0</v>
      </c>
      <c r="Q137" s="19">
        <v>1.0675491739838266E-4</v>
      </c>
      <c r="R137" s="16">
        <v>5.7127351147545669E-5</v>
      </c>
      <c r="S137" s="25">
        <v>8.3726741677239851E-5</v>
      </c>
      <c r="T137" s="22">
        <v>3.4750303275374046E-4</v>
      </c>
      <c r="U137" s="25">
        <v>2.3554876496052968E-4</v>
      </c>
      <c r="V137" s="22">
        <v>3.1507772967591106E-5</v>
      </c>
      <c r="W137" s="25">
        <v>0</v>
      </c>
    </row>
    <row r="138" spans="1:23" x14ac:dyDescent="0.2">
      <c r="A138" s="6" t="s">
        <v>437</v>
      </c>
      <c r="B138" s="19">
        <v>0</v>
      </c>
      <c r="C138" s="16">
        <v>1.2465028669565939E-4</v>
      </c>
      <c r="D138" s="19">
        <v>5.0453011192041217E-4</v>
      </c>
      <c r="E138" s="16">
        <v>5.0266616852902215E-4</v>
      </c>
      <c r="F138" s="19">
        <v>2.2048109126696523E-3</v>
      </c>
      <c r="G138" s="16">
        <v>7.7487343733856806E-4</v>
      </c>
      <c r="H138" s="22">
        <v>1.1159913070150822E-3</v>
      </c>
      <c r="I138" s="25">
        <v>2.3696682464454978E-3</v>
      </c>
      <c r="J138" s="22">
        <v>9.8653512864951354E-4</v>
      </c>
      <c r="K138" s="25">
        <v>9.2495777366685434E-4</v>
      </c>
      <c r="L138" s="22">
        <v>1.7583552615399751E-3</v>
      </c>
      <c r="M138" s="25">
        <v>2.1217159960093121E-3</v>
      </c>
      <c r="N138" s="19">
        <v>2.9882323410409807E-5</v>
      </c>
      <c r="O138" s="19">
        <v>2.3697805583202996E-5</v>
      </c>
      <c r="P138" s="16">
        <v>1.4873061652073824E-4</v>
      </c>
      <c r="Q138" s="19">
        <v>3.4695348154474364E-4</v>
      </c>
      <c r="R138" s="16">
        <v>2.4279124237706909E-4</v>
      </c>
      <c r="S138" s="25">
        <v>2.8660307727978247E-3</v>
      </c>
      <c r="T138" s="22">
        <v>1.882834613829357E-3</v>
      </c>
      <c r="U138" s="25">
        <v>3.1703590527119938E-3</v>
      </c>
      <c r="V138" s="22">
        <v>2.0480052428934218E-3</v>
      </c>
      <c r="W138" s="25">
        <v>3.4288069235524419E-3</v>
      </c>
    </row>
    <row r="139" spans="1:23" x14ac:dyDescent="0.2">
      <c r="A139" s="6" t="s">
        <v>436</v>
      </c>
      <c r="B139" s="19">
        <v>3.4375165265217622E-4</v>
      </c>
      <c r="C139" s="16">
        <v>8.3100191130439603E-4</v>
      </c>
      <c r="D139" s="19">
        <v>2.9845443240362411E-4</v>
      </c>
      <c r="E139" s="16">
        <v>4.4153109397819512E-4</v>
      </c>
      <c r="F139" s="19">
        <v>4.4248800323473995E-4</v>
      </c>
      <c r="G139" s="16">
        <v>4.9936288184041053E-4</v>
      </c>
      <c r="H139" s="22">
        <v>1.8273541869252806E-3</v>
      </c>
      <c r="I139" s="25">
        <v>2.7689058314444675E-4</v>
      </c>
      <c r="J139" s="22">
        <v>3.1329156112518331E-4</v>
      </c>
      <c r="K139" s="25">
        <v>3.3512962814016462E-5</v>
      </c>
      <c r="L139" s="22">
        <v>8.9147382141012725E-4</v>
      </c>
      <c r="M139" s="25">
        <v>5.9195211173927514E-4</v>
      </c>
      <c r="N139" s="19">
        <v>3.7651727497116356E-4</v>
      </c>
      <c r="O139" s="19">
        <v>1.1927895476878841E-3</v>
      </c>
      <c r="P139" s="16">
        <v>8.4065131076938992E-4</v>
      </c>
      <c r="Q139" s="19">
        <v>7.4728442178867861E-4</v>
      </c>
      <c r="R139" s="16">
        <v>1.7638069666804724E-3</v>
      </c>
      <c r="S139" s="25">
        <v>1.674534833544797E-4</v>
      </c>
      <c r="T139" s="22">
        <v>1.2446926809543065E-3</v>
      </c>
      <c r="U139" s="25">
        <v>2.8647822765469827E-4</v>
      </c>
      <c r="V139" s="22">
        <v>7.5618655122218666E-4</v>
      </c>
      <c r="W139" s="25">
        <v>2.8848135174119102E-4</v>
      </c>
    </row>
    <row r="140" spans="1:23" x14ac:dyDescent="0.2">
      <c r="A140" s="6" t="s">
        <v>435</v>
      </c>
      <c r="B140" s="19">
        <v>1.0973610450050241E-3</v>
      </c>
      <c r="C140" s="16">
        <v>0</v>
      </c>
      <c r="D140" s="19">
        <v>4.5478770651980816E-4</v>
      </c>
      <c r="E140" s="16">
        <v>5.2304452671263126E-4</v>
      </c>
      <c r="F140" s="19">
        <v>2.1056325671170379E-3</v>
      </c>
      <c r="G140" s="16">
        <v>1.6530633329889452E-3</v>
      </c>
      <c r="H140" s="22">
        <v>4.0006004163757047E-3</v>
      </c>
      <c r="I140" s="25">
        <v>2.4469400370904593E-4</v>
      </c>
      <c r="J140" s="22">
        <v>1.9997333688841487E-5</v>
      </c>
      <c r="K140" s="25">
        <v>7.3728518190836211E-5</v>
      </c>
      <c r="L140" s="22">
        <v>3.4429333792391119E-3</v>
      </c>
      <c r="M140" s="25">
        <v>1.5563684735616892E-3</v>
      </c>
      <c r="N140" s="19">
        <v>8.3670505549147457E-5</v>
      </c>
      <c r="O140" s="19">
        <v>1.5008610202695231E-3</v>
      </c>
      <c r="P140" s="16">
        <v>5.8198936899419307E-5</v>
      </c>
      <c r="Q140" s="19">
        <v>7.6062878646347644E-4</v>
      </c>
      <c r="R140" s="16">
        <v>1.9280481012296663E-4</v>
      </c>
      <c r="S140" s="25">
        <v>1.1592933463002439E-4</v>
      </c>
      <c r="T140" s="22">
        <v>4.4733117670845129E-3</v>
      </c>
      <c r="U140" s="25">
        <v>4.965622612681436E-4</v>
      </c>
      <c r="V140" s="22">
        <v>0</v>
      </c>
      <c r="W140" s="25">
        <v>2.4726973006387802E-5</v>
      </c>
    </row>
    <row r="141" spans="1:23" x14ac:dyDescent="0.2">
      <c r="A141" s="6" t="s">
        <v>434</v>
      </c>
      <c r="B141" s="19">
        <v>0</v>
      </c>
      <c r="C141" s="16">
        <v>3.5317581230436831E-4</v>
      </c>
      <c r="D141" s="19">
        <v>3.5530289571860009E-4</v>
      </c>
      <c r="E141" s="16">
        <v>9.4419726250721727E-4</v>
      </c>
      <c r="F141" s="19">
        <v>6.8661931536425158E-5</v>
      </c>
      <c r="G141" s="16">
        <v>4.9936288184041053E-4</v>
      </c>
      <c r="H141" s="22">
        <v>0</v>
      </c>
      <c r="I141" s="25">
        <v>1.2878631774160314E-4</v>
      </c>
      <c r="J141" s="22">
        <v>0</v>
      </c>
      <c r="K141" s="25">
        <v>0</v>
      </c>
      <c r="L141" s="22">
        <v>0</v>
      </c>
      <c r="M141" s="25">
        <v>0</v>
      </c>
      <c r="N141" s="19">
        <v>0</v>
      </c>
      <c r="O141" s="19">
        <v>3.1597074110937325E-4</v>
      </c>
      <c r="P141" s="16">
        <v>7.1778688842617138E-4</v>
      </c>
      <c r="Q141" s="19">
        <v>6.2718513971549812E-4</v>
      </c>
      <c r="R141" s="16">
        <v>7.3551464602465049E-4</v>
      </c>
      <c r="S141" s="25">
        <v>4.1219318979564235E-4</v>
      </c>
      <c r="T141" s="22">
        <v>0</v>
      </c>
      <c r="U141" s="25">
        <v>0</v>
      </c>
      <c r="V141" s="22">
        <v>0</v>
      </c>
      <c r="W141" s="25">
        <v>0</v>
      </c>
    </row>
    <row r="142" spans="1:23" x14ac:dyDescent="0.2">
      <c r="A142" s="6" t="s">
        <v>433</v>
      </c>
      <c r="B142" s="19">
        <v>0</v>
      </c>
      <c r="C142" s="16">
        <v>0</v>
      </c>
      <c r="D142" s="19">
        <v>0</v>
      </c>
      <c r="E142" s="16">
        <v>0</v>
      </c>
      <c r="F142" s="19">
        <v>0</v>
      </c>
      <c r="G142" s="16">
        <v>0</v>
      </c>
      <c r="H142" s="22">
        <v>0</v>
      </c>
      <c r="I142" s="25">
        <v>0</v>
      </c>
      <c r="J142" s="22">
        <v>1.1331822423676842E-4</v>
      </c>
      <c r="K142" s="25">
        <v>0</v>
      </c>
      <c r="L142" s="22">
        <v>0</v>
      </c>
      <c r="M142" s="25">
        <v>0</v>
      </c>
      <c r="N142" s="19">
        <v>0</v>
      </c>
      <c r="O142" s="19">
        <v>1.5798537055468663E-5</v>
      </c>
      <c r="P142" s="16">
        <v>0</v>
      </c>
      <c r="Q142" s="19">
        <v>0</v>
      </c>
      <c r="R142" s="16">
        <v>0</v>
      </c>
      <c r="S142" s="25">
        <v>0</v>
      </c>
      <c r="T142" s="22">
        <v>0</v>
      </c>
      <c r="U142" s="25">
        <v>1.2732365673542144E-5</v>
      </c>
      <c r="V142" s="22">
        <v>0</v>
      </c>
      <c r="W142" s="25">
        <v>0</v>
      </c>
    </row>
    <row r="143" spans="1:23" x14ac:dyDescent="0.2">
      <c r="A143" s="6" t="s">
        <v>432</v>
      </c>
      <c r="B143" s="19">
        <v>0</v>
      </c>
      <c r="C143" s="16">
        <v>0</v>
      </c>
      <c r="D143" s="19">
        <v>3.5530289571860007E-5</v>
      </c>
      <c r="E143" s="16">
        <v>0</v>
      </c>
      <c r="F143" s="19">
        <v>0</v>
      </c>
      <c r="G143" s="16">
        <v>0</v>
      </c>
      <c r="H143" s="22">
        <v>0</v>
      </c>
      <c r="I143" s="25">
        <v>5.7953842983721407E-5</v>
      </c>
      <c r="J143" s="22">
        <v>3.3328889481402477E-5</v>
      </c>
      <c r="K143" s="25">
        <v>5.3620740502426337E-5</v>
      </c>
      <c r="L143" s="22">
        <v>0</v>
      </c>
      <c r="M143" s="25">
        <v>1.3302294645826405E-5</v>
      </c>
      <c r="N143" s="19">
        <v>0</v>
      </c>
      <c r="O143" s="19">
        <v>0</v>
      </c>
      <c r="P143" s="16">
        <v>6.4665485443799232E-5</v>
      </c>
      <c r="Q143" s="19">
        <v>5.3377458699191329E-5</v>
      </c>
      <c r="R143" s="16">
        <v>3.5704594467216042E-5</v>
      </c>
      <c r="S143" s="25">
        <v>1.9321555771670734E-5</v>
      </c>
      <c r="T143" s="22">
        <v>4.1068540234532951E-4</v>
      </c>
      <c r="U143" s="25">
        <v>3.819709702062643E-5</v>
      </c>
      <c r="V143" s="22">
        <v>0</v>
      </c>
      <c r="W143" s="25">
        <v>8.2423243354626008E-5</v>
      </c>
    </row>
    <row r="144" spans="1:23" x14ac:dyDescent="0.2">
      <c r="A144" s="6" t="s">
        <v>431</v>
      </c>
      <c r="B144" s="19">
        <v>3.9663652229097259E-5</v>
      </c>
      <c r="C144" s="16">
        <v>2.07750477826099E-5</v>
      </c>
      <c r="D144" s="19">
        <v>0</v>
      </c>
      <c r="E144" s="16">
        <v>0</v>
      </c>
      <c r="F144" s="19">
        <v>1.6021117358499203E-4</v>
      </c>
      <c r="G144" s="16">
        <v>0</v>
      </c>
      <c r="H144" s="22">
        <v>3.2631324766522872E-5</v>
      </c>
      <c r="I144" s="25">
        <v>0</v>
      </c>
      <c r="J144" s="22">
        <v>0</v>
      </c>
      <c r="K144" s="25">
        <v>0</v>
      </c>
      <c r="L144" s="22">
        <v>9.2221429801047641E-5</v>
      </c>
      <c r="M144" s="25">
        <v>1.9953441968739608E-5</v>
      </c>
      <c r="N144" s="19">
        <v>0</v>
      </c>
      <c r="O144" s="19">
        <v>0</v>
      </c>
      <c r="P144" s="16">
        <v>0</v>
      </c>
      <c r="Q144" s="19">
        <v>4.0033094024393497E-5</v>
      </c>
      <c r="R144" s="16">
        <v>0</v>
      </c>
      <c r="S144" s="25">
        <v>0</v>
      </c>
      <c r="T144" s="22">
        <v>3.1591184795794582E-5</v>
      </c>
      <c r="U144" s="25">
        <v>0</v>
      </c>
      <c r="V144" s="22">
        <v>0</v>
      </c>
      <c r="W144" s="25">
        <v>0</v>
      </c>
    </row>
    <row r="145" spans="1:23" x14ac:dyDescent="0.2">
      <c r="A145" s="6" t="s">
        <v>430</v>
      </c>
      <c r="B145" s="19">
        <v>3.9663652229097259E-5</v>
      </c>
      <c r="C145" s="16">
        <v>0</v>
      </c>
      <c r="D145" s="19">
        <v>7.8166637058092026E-5</v>
      </c>
      <c r="E145" s="16">
        <v>2.7171144244812009E-5</v>
      </c>
      <c r="F145" s="19">
        <v>0</v>
      </c>
      <c r="G145" s="16">
        <v>0</v>
      </c>
      <c r="H145" s="22">
        <v>5.2210119626436595E-5</v>
      </c>
      <c r="I145" s="25">
        <v>0</v>
      </c>
      <c r="J145" s="22">
        <v>0</v>
      </c>
      <c r="K145" s="25">
        <v>0</v>
      </c>
      <c r="L145" s="22">
        <v>4.3036667240488894E-5</v>
      </c>
      <c r="M145" s="25">
        <v>0</v>
      </c>
      <c r="N145" s="19">
        <v>0</v>
      </c>
      <c r="O145" s="19">
        <v>0</v>
      </c>
      <c r="P145" s="16">
        <v>0</v>
      </c>
      <c r="Q145" s="19">
        <v>9.3410552723584826E-5</v>
      </c>
      <c r="R145" s="16">
        <v>4.9986432254102458E-5</v>
      </c>
      <c r="S145" s="25">
        <v>0</v>
      </c>
      <c r="T145" s="22">
        <v>1.4531945006065507E-4</v>
      </c>
      <c r="U145" s="25">
        <v>0</v>
      </c>
      <c r="V145" s="22">
        <v>0</v>
      </c>
      <c r="W145" s="25">
        <v>0</v>
      </c>
    </row>
    <row r="146" spans="1:23" x14ac:dyDescent="0.2">
      <c r="A146" s="6" t="s">
        <v>429</v>
      </c>
      <c r="B146" s="19">
        <v>1.0841398275953248E-3</v>
      </c>
      <c r="C146" s="16">
        <v>8.3792692723193263E-4</v>
      </c>
      <c r="D146" s="19">
        <v>8.0298454432403633E-4</v>
      </c>
      <c r="E146" s="16">
        <v>8.7626940189518743E-4</v>
      </c>
      <c r="F146" s="19">
        <v>1.9454213935320461E-3</v>
      </c>
      <c r="G146" s="16">
        <v>5.3380170127768022E-4</v>
      </c>
      <c r="H146" s="22">
        <v>1.3444105803807423E-3</v>
      </c>
      <c r="I146" s="25">
        <v>1.1783948073356685E-3</v>
      </c>
      <c r="J146" s="22">
        <v>1.2598320223970139E-3</v>
      </c>
      <c r="K146" s="25">
        <v>1.1126303654253465E-3</v>
      </c>
      <c r="L146" s="22">
        <v>1.5370238300174607E-4</v>
      </c>
      <c r="M146" s="25">
        <v>2.6604589291652812E-4</v>
      </c>
      <c r="N146" s="19">
        <v>1.9124686982662276E-4</v>
      </c>
      <c r="O146" s="19">
        <v>2.4487732435976426E-4</v>
      </c>
      <c r="P146" s="16">
        <v>4.5265839810659455E-4</v>
      </c>
      <c r="Q146" s="19">
        <v>9.8748298593503959E-4</v>
      </c>
      <c r="R146" s="16">
        <v>6.2125994372955911E-4</v>
      </c>
      <c r="S146" s="25">
        <v>9.6607778858353666E-4</v>
      </c>
      <c r="T146" s="22">
        <v>1.6427416093813183E-4</v>
      </c>
      <c r="U146" s="25">
        <v>6.5571683218742052E-4</v>
      </c>
      <c r="V146" s="22">
        <v>1.3548342376064175E-3</v>
      </c>
      <c r="W146" s="25">
        <v>1.5083453533896558E-3</v>
      </c>
    </row>
    <row r="147" spans="1:23" x14ac:dyDescent="0.2">
      <c r="A147" s="6" t="s">
        <v>428</v>
      </c>
      <c r="B147" s="19">
        <v>0</v>
      </c>
      <c r="C147" s="16">
        <v>0</v>
      </c>
      <c r="D147" s="19">
        <v>0</v>
      </c>
      <c r="E147" s="16">
        <v>0</v>
      </c>
      <c r="F147" s="19">
        <v>0</v>
      </c>
      <c r="G147" s="16">
        <v>0</v>
      </c>
      <c r="H147" s="22">
        <v>2.6105059813218297E-5</v>
      </c>
      <c r="I147" s="25">
        <v>7.0832474757881719E-5</v>
      </c>
      <c r="J147" s="22">
        <v>6.6657778962804959E-6</v>
      </c>
      <c r="K147" s="25">
        <v>7.3728518190836211E-5</v>
      </c>
      <c r="L147" s="22">
        <v>0</v>
      </c>
      <c r="M147" s="25">
        <v>0</v>
      </c>
      <c r="N147" s="19">
        <v>0</v>
      </c>
      <c r="O147" s="19">
        <v>0</v>
      </c>
      <c r="P147" s="16">
        <v>0</v>
      </c>
      <c r="Q147" s="19">
        <v>0</v>
      </c>
      <c r="R147" s="16">
        <v>0</v>
      </c>
      <c r="S147" s="25">
        <v>4.5083630133898384E-5</v>
      </c>
      <c r="T147" s="22">
        <v>0</v>
      </c>
      <c r="U147" s="25">
        <v>0</v>
      </c>
      <c r="V147" s="22">
        <v>0</v>
      </c>
      <c r="W147" s="25">
        <v>0</v>
      </c>
    </row>
    <row r="148" spans="1:23" x14ac:dyDescent="0.2">
      <c r="A148" s="6" t="s">
        <v>427</v>
      </c>
      <c r="B148" s="19">
        <v>8.5937913163044056E-5</v>
      </c>
      <c r="C148" s="16">
        <v>6.2325143347829697E-5</v>
      </c>
      <c r="D148" s="19">
        <v>3.4819683780422806E-4</v>
      </c>
      <c r="E148" s="16">
        <v>1.9699079577488706E-4</v>
      </c>
      <c r="F148" s="19">
        <v>1.9072758760118097E-4</v>
      </c>
      <c r="G148" s="16">
        <v>4.3048524296587115E-5</v>
      </c>
      <c r="H148" s="22">
        <v>4.1768095701149276E-4</v>
      </c>
      <c r="I148" s="25">
        <v>1.931794766124047E-5</v>
      </c>
      <c r="J148" s="22">
        <v>3.9994667377682974E-5</v>
      </c>
      <c r="K148" s="25">
        <v>2.0107777688409878E-5</v>
      </c>
      <c r="L148" s="22">
        <v>3.0740476600349208E-4</v>
      </c>
      <c r="M148" s="25">
        <v>1.1306950448952444E-4</v>
      </c>
      <c r="N148" s="19">
        <v>2.0319979919078667E-4</v>
      </c>
      <c r="O148" s="19">
        <v>3.238700096371076E-4</v>
      </c>
      <c r="P148" s="16">
        <v>8.4065131076938992E-5</v>
      </c>
      <c r="Q148" s="19">
        <v>0</v>
      </c>
      <c r="R148" s="16">
        <v>1.2139562118853454E-4</v>
      </c>
      <c r="S148" s="25">
        <v>0</v>
      </c>
      <c r="T148" s="22">
        <v>1.2636473918317833E-4</v>
      </c>
      <c r="U148" s="25">
        <v>0</v>
      </c>
      <c r="V148" s="22">
        <v>1.5753886483795552E-4</v>
      </c>
      <c r="W148" s="25">
        <v>2.4726973006387802E-5</v>
      </c>
    </row>
    <row r="149" spans="1:23" x14ac:dyDescent="0.2">
      <c r="A149" s="6" t="s">
        <v>426</v>
      </c>
      <c r="B149" s="19">
        <v>0</v>
      </c>
      <c r="C149" s="16">
        <v>0</v>
      </c>
      <c r="D149" s="19">
        <v>0</v>
      </c>
      <c r="E149" s="16">
        <v>0</v>
      </c>
      <c r="F149" s="19">
        <v>2.0598579460927546E-4</v>
      </c>
      <c r="G149" s="16">
        <v>1.2397974997417089E-3</v>
      </c>
      <c r="H149" s="22">
        <v>0</v>
      </c>
      <c r="I149" s="25">
        <v>0</v>
      </c>
      <c r="J149" s="22">
        <v>0</v>
      </c>
      <c r="K149" s="25">
        <v>0</v>
      </c>
      <c r="L149" s="22">
        <v>0</v>
      </c>
      <c r="M149" s="25">
        <v>0</v>
      </c>
      <c r="N149" s="19">
        <v>0</v>
      </c>
      <c r="O149" s="19">
        <v>0</v>
      </c>
      <c r="P149" s="16">
        <v>3.2332742721899616E-5</v>
      </c>
      <c r="Q149" s="19">
        <v>0</v>
      </c>
      <c r="R149" s="16">
        <v>0</v>
      </c>
      <c r="S149" s="25">
        <v>0</v>
      </c>
      <c r="T149" s="22">
        <v>0</v>
      </c>
      <c r="U149" s="25">
        <v>0</v>
      </c>
      <c r="V149" s="22">
        <v>0</v>
      </c>
      <c r="W149" s="25">
        <v>0</v>
      </c>
    </row>
    <row r="150" spans="1:23" x14ac:dyDescent="0.2">
      <c r="A150" s="6" t="s">
        <v>425</v>
      </c>
      <c r="B150" s="19">
        <v>1.5997673065735888E-3</v>
      </c>
      <c r="C150" s="16">
        <v>6.024763856956871E-4</v>
      </c>
      <c r="D150" s="19">
        <v>3.922543968733345E-3</v>
      </c>
      <c r="E150" s="16">
        <v>2.0446286044221037E-3</v>
      </c>
      <c r="F150" s="19">
        <v>2.7388481579529588E-3</v>
      </c>
      <c r="G150" s="16">
        <v>3.0994937493542714E-3</v>
      </c>
      <c r="H150" s="22">
        <v>4.0854418607686625E-3</v>
      </c>
      <c r="I150" s="25">
        <v>2.1249742427364516E-4</v>
      </c>
      <c r="J150" s="22">
        <v>7.0657245700573267E-4</v>
      </c>
      <c r="K150" s="25">
        <v>3.3512962814016462E-5</v>
      </c>
      <c r="L150" s="22">
        <v>6.3325381796719394E-4</v>
      </c>
      <c r="M150" s="25">
        <v>7.9148653142667121E-4</v>
      </c>
      <c r="N150" s="19">
        <v>2.294962437919473E-3</v>
      </c>
      <c r="O150" s="19">
        <v>6.422105313048012E-3</v>
      </c>
      <c r="P150" s="16">
        <v>3.6794661217521758E-3</v>
      </c>
      <c r="Q150" s="19">
        <v>2.5487736528863859E-3</v>
      </c>
      <c r="R150" s="16">
        <v>3.7418415001642408E-3</v>
      </c>
      <c r="S150" s="25">
        <v>1.2881037181113823E-4</v>
      </c>
      <c r="T150" s="22">
        <v>1.8828346138293575E-3</v>
      </c>
      <c r="U150" s="25">
        <v>2.9921059332824038E-4</v>
      </c>
      <c r="V150" s="22">
        <v>8.0029743337681387E-4</v>
      </c>
      <c r="W150" s="25">
        <v>1.4836183803832681E-4</v>
      </c>
    </row>
    <row r="151" spans="1:23" x14ac:dyDescent="0.2">
      <c r="A151" s="6" t="s">
        <v>424</v>
      </c>
      <c r="B151" s="19">
        <v>2.5054206991379771E-3</v>
      </c>
      <c r="C151" s="16">
        <v>2.9085066895653843E-3</v>
      </c>
      <c r="D151" s="19">
        <v>1.8759992893942084E-3</v>
      </c>
      <c r="E151" s="16">
        <v>3.1518527323981939E-3</v>
      </c>
      <c r="F151" s="19">
        <v>4.5240583779000143E-3</v>
      </c>
      <c r="G151" s="16">
        <v>3.0220064056204156E-3</v>
      </c>
      <c r="H151" s="22">
        <v>1.9317744261781538E-3</v>
      </c>
      <c r="I151" s="25">
        <v>6.8127962085308075E-3</v>
      </c>
      <c r="J151" s="22">
        <v>1.4664711371817087E-3</v>
      </c>
      <c r="K151" s="25">
        <v>2.8888173945682198E-3</v>
      </c>
      <c r="L151" s="22">
        <v>2.7174581314708701E-3</v>
      </c>
      <c r="M151" s="25">
        <v>2.5274359827070166E-3</v>
      </c>
      <c r="N151" s="19">
        <v>3.0240911291334722E-3</v>
      </c>
      <c r="O151" s="19">
        <v>6.1061345719386397E-3</v>
      </c>
      <c r="P151" s="16">
        <v>5.1732388355039396E-3</v>
      </c>
      <c r="Q151" s="19">
        <v>2.7756278523579491E-3</v>
      </c>
      <c r="R151" s="16">
        <v>3.0063268541395899E-3</v>
      </c>
      <c r="S151" s="25">
        <v>2.7629824753489149E-3</v>
      </c>
      <c r="T151" s="22">
        <v>4.49858471492115E-3</v>
      </c>
      <c r="U151" s="25">
        <v>6.0797046091163771E-3</v>
      </c>
      <c r="V151" s="22">
        <v>1.7707368407786199E-3</v>
      </c>
      <c r="W151" s="25">
        <v>1.2775602719967032E-3</v>
      </c>
    </row>
    <row r="152" spans="1:23" x14ac:dyDescent="0.2">
      <c r="A152" s="6" t="s">
        <v>423</v>
      </c>
      <c r="B152" s="19">
        <v>2.5781373948913217E-4</v>
      </c>
      <c r="C152" s="16">
        <v>1.5927536633334255E-4</v>
      </c>
      <c r="D152" s="19">
        <v>2.842423165748801E-5</v>
      </c>
      <c r="E152" s="16">
        <v>1.2227014910165404E-4</v>
      </c>
      <c r="F152" s="19">
        <v>1.7546938059308652E-4</v>
      </c>
      <c r="G152" s="16">
        <v>1.5497468746771361E-4</v>
      </c>
      <c r="H152" s="22">
        <v>1.9578794859913723E-5</v>
      </c>
      <c r="I152" s="25">
        <v>0</v>
      </c>
      <c r="J152" s="22">
        <v>3.3328889481402477E-5</v>
      </c>
      <c r="K152" s="25">
        <v>0</v>
      </c>
      <c r="L152" s="22">
        <v>1.1066571576125716E-4</v>
      </c>
      <c r="M152" s="25">
        <v>3.3255736614566014E-5</v>
      </c>
      <c r="N152" s="19">
        <v>3.3468202219658983E-4</v>
      </c>
      <c r="O152" s="19">
        <v>4.7395611166405993E-5</v>
      </c>
      <c r="P152" s="16">
        <v>3.0392778158585637E-4</v>
      </c>
      <c r="Q152" s="19">
        <v>2.2685419947156315E-4</v>
      </c>
      <c r="R152" s="16">
        <v>5.6413259258201337E-4</v>
      </c>
      <c r="S152" s="25">
        <v>5.7964667315012197E-5</v>
      </c>
      <c r="T152" s="22">
        <v>5.7495956328346132E-4</v>
      </c>
      <c r="U152" s="25">
        <v>8.9126559714795006E-5</v>
      </c>
      <c r="V152" s="22">
        <v>8.1920209715736857E-5</v>
      </c>
      <c r="W152" s="25">
        <v>3.2969297341850403E-5</v>
      </c>
    </row>
    <row r="153" spans="1:23" x14ac:dyDescent="0.2">
      <c r="A153" s="6" t="s">
        <v>422</v>
      </c>
      <c r="B153" s="19">
        <v>1.4543339150668996E-4</v>
      </c>
      <c r="C153" s="16">
        <v>0</v>
      </c>
      <c r="D153" s="19">
        <v>0</v>
      </c>
      <c r="E153" s="16">
        <v>0</v>
      </c>
      <c r="F153" s="19">
        <v>0</v>
      </c>
      <c r="G153" s="16">
        <v>3.4438819437269692E-5</v>
      </c>
      <c r="H153" s="22">
        <v>3.2631324766522872E-5</v>
      </c>
      <c r="I153" s="25">
        <v>0</v>
      </c>
      <c r="J153" s="22">
        <v>0</v>
      </c>
      <c r="K153" s="25">
        <v>0</v>
      </c>
      <c r="L153" s="22">
        <v>3.6888571920419054E-5</v>
      </c>
      <c r="M153" s="25">
        <v>1.9953441968739608E-5</v>
      </c>
      <c r="N153" s="19">
        <v>0</v>
      </c>
      <c r="O153" s="19">
        <v>2.6857512994296726E-4</v>
      </c>
      <c r="P153" s="16">
        <v>3.2332742721899616E-5</v>
      </c>
      <c r="Q153" s="19">
        <v>8.0066188048786993E-5</v>
      </c>
      <c r="R153" s="16">
        <v>1.7138205344263699E-4</v>
      </c>
      <c r="S153" s="25">
        <v>0</v>
      </c>
      <c r="T153" s="22">
        <v>0</v>
      </c>
      <c r="U153" s="25">
        <v>0</v>
      </c>
      <c r="V153" s="22">
        <v>0</v>
      </c>
      <c r="W153" s="25">
        <v>0</v>
      </c>
    </row>
    <row r="154" spans="1:23" x14ac:dyDescent="0.2">
      <c r="A154" s="6" t="s">
        <v>421</v>
      </c>
      <c r="B154" s="19">
        <v>0</v>
      </c>
      <c r="C154" s="16">
        <v>0</v>
      </c>
      <c r="D154" s="19">
        <v>5.684846331497602E-5</v>
      </c>
      <c r="E154" s="16">
        <v>0</v>
      </c>
      <c r="F154" s="19">
        <v>0</v>
      </c>
      <c r="G154" s="16">
        <v>0</v>
      </c>
      <c r="H154" s="22">
        <v>0</v>
      </c>
      <c r="I154" s="25">
        <v>0</v>
      </c>
      <c r="J154" s="22">
        <v>0</v>
      </c>
      <c r="K154" s="25">
        <v>0</v>
      </c>
      <c r="L154" s="22">
        <v>1.1066571576125716E-4</v>
      </c>
      <c r="M154" s="25">
        <v>0</v>
      </c>
      <c r="N154" s="19">
        <v>0</v>
      </c>
      <c r="O154" s="19">
        <v>0</v>
      </c>
      <c r="P154" s="16">
        <v>0</v>
      </c>
      <c r="Q154" s="19">
        <v>0</v>
      </c>
      <c r="R154" s="16">
        <v>0</v>
      </c>
      <c r="S154" s="25">
        <v>0</v>
      </c>
      <c r="T154" s="22">
        <v>3.7909421754953499E-4</v>
      </c>
      <c r="U154" s="25">
        <v>0</v>
      </c>
      <c r="V154" s="22">
        <v>0</v>
      </c>
      <c r="W154" s="25">
        <v>0</v>
      </c>
    </row>
    <row r="155" spans="1:23" x14ac:dyDescent="0.2">
      <c r="A155" s="6" t="s">
        <v>420</v>
      </c>
      <c r="B155" s="19">
        <v>6.6767147918980383E-4</v>
      </c>
      <c r="C155" s="16">
        <v>2.6315060524639209E-4</v>
      </c>
      <c r="D155" s="19">
        <v>3.6880440575590696E-3</v>
      </c>
      <c r="E155" s="16">
        <v>2.9548619366233059E-3</v>
      </c>
      <c r="F155" s="19">
        <v>1.5944826323458731E-3</v>
      </c>
      <c r="G155" s="16">
        <v>1.0331645831180907E-3</v>
      </c>
      <c r="H155" s="22">
        <v>8.0534109523778454E-3</v>
      </c>
      <c r="I155" s="25">
        <v>5.8597774572429406E-4</v>
      </c>
      <c r="J155" s="22">
        <v>1.8864151446473802E-3</v>
      </c>
      <c r="K155" s="25">
        <v>4.3566851658221397E-4</v>
      </c>
      <c r="L155" s="22">
        <v>2.4039052701473086E-3</v>
      </c>
      <c r="M155" s="25">
        <v>2.0419022281343534E-3</v>
      </c>
      <c r="N155" s="19">
        <v>3.807008002486208E-3</v>
      </c>
      <c r="O155" s="19">
        <v>4.0286269491445099E-3</v>
      </c>
      <c r="P155" s="16">
        <v>1.739501558438199E-3</v>
      </c>
      <c r="Q155" s="19">
        <v>1.0675491739838266E-3</v>
      </c>
      <c r="R155" s="16">
        <v>9.8544680729516286E-4</v>
      </c>
      <c r="S155" s="25">
        <v>1.5264029059619884E-3</v>
      </c>
      <c r="T155" s="22">
        <v>3.8667610190052577E-3</v>
      </c>
      <c r="U155" s="25">
        <v>1.063152533740769E-3</v>
      </c>
      <c r="V155" s="22">
        <v>1.0082487349629154E-3</v>
      </c>
      <c r="W155" s="25">
        <v>5.8520502781784459E-4</v>
      </c>
    </row>
    <row r="156" spans="1:23" x14ac:dyDescent="0.2">
      <c r="A156" s="6" t="s">
        <v>419</v>
      </c>
      <c r="B156" s="19">
        <v>0</v>
      </c>
      <c r="C156" s="16">
        <v>0</v>
      </c>
      <c r="D156" s="19">
        <v>0</v>
      </c>
      <c r="E156" s="16">
        <v>0</v>
      </c>
      <c r="F156" s="19">
        <v>0</v>
      </c>
      <c r="G156" s="16">
        <v>0</v>
      </c>
      <c r="H156" s="22">
        <v>1.6968288878591892E-3</v>
      </c>
      <c r="I156" s="25">
        <v>1.9768699773336082E-3</v>
      </c>
      <c r="J156" s="22">
        <v>7.3990134648713505E-4</v>
      </c>
      <c r="K156" s="25">
        <v>9.2495777366685434E-4</v>
      </c>
      <c r="L156" s="22">
        <v>3.1970095664363184E-4</v>
      </c>
      <c r="M156" s="25">
        <v>6.9837046890588626E-4</v>
      </c>
      <c r="N156" s="19">
        <v>5.1397596265904868E-4</v>
      </c>
      <c r="O156" s="19">
        <v>0</v>
      </c>
      <c r="P156" s="16">
        <v>1.2286442234321854E-4</v>
      </c>
      <c r="Q156" s="19">
        <v>0</v>
      </c>
      <c r="R156" s="16">
        <v>1.7138205344263701E-4</v>
      </c>
      <c r="S156" s="25">
        <v>4.4439578274842688E-4</v>
      </c>
      <c r="T156" s="22">
        <v>9.0982612211888388E-4</v>
      </c>
      <c r="U156" s="25">
        <v>1.2095747389865034E-3</v>
      </c>
      <c r="V156" s="22">
        <v>6.9947255988052251E-4</v>
      </c>
      <c r="W156" s="25">
        <v>7.4180919019163399E-4</v>
      </c>
    </row>
    <row r="157" spans="1:23" x14ac:dyDescent="0.2">
      <c r="A157" s="6" t="s">
        <v>418</v>
      </c>
      <c r="B157" s="19">
        <v>5.5529113120736156E-4</v>
      </c>
      <c r="C157" s="16">
        <v>6.2325143347829697E-5</v>
      </c>
      <c r="D157" s="19">
        <v>1.0659086871558003E-4</v>
      </c>
      <c r="E157" s="16">
        <v>2.5812587032571411E-4</v>
      </c>
      <c r="F157" s="19">
        <v>1.2206565606475584E-3</v>
      </c>
      <c r="G157" s="16">
        <v>1.2828460240382959E-3</v>
      </c>
      <c r="H157" s="22">
        <v>8.7451950374281291E-4</v>
      </c>
      <c r="I157" s="25">
        <v>8.306717494333402E-4</v>
      </c>
      <c r="J157" s="22">
        <v>3.932808958805493E-4</v>
      </c>
      <c r="K157" s="25">
        <v>7.3728518190836211E-5</v>
      </c>
      <c r="L157" s="22">
        <v>4.6110714900523815E-4</v>
      </c>
      <c r="M157" s="25">
        <v>3.3920851346857335E-4</v>
      </c>
      <c r="N157" s="19">
        <v>4.6018778052031101E-4</v>
      </c>
      <c r="O157" s="19">
        <v>1.6272493167132722E-3</v>
      </c>
      <c r="P157" s="16">
        <v>3.7505981557403557E-4</v>
      </c>
      <c r="Q157" s="19">
        <v>8.273506098374656E-4</v>
      </c>
      <c r="R157" s="16">
        <v>4.7130064696725176E-4</v>
      </c>
      <c r="S157" s="25">
        <v>1.8033452053559354E-4</v>
      </c>
      <c r="T157" s="22">
        <v>3.475030327537404E-4</v>
      </c>
      <c r="U157" s="25">
        <v>2.1008403361344536E-4</v>
      </c>
      <c r="V157" s="22">
        <v>7.5618655122218647E-5</v>
      </c>
      <c r="W157" s="25">
        <v>0</v>
      </c>
    </row>
    <row r="158" spans="1:23" x14ac:dyDescent="0.2">
      <c r="A158" s="6" t="s">
        <v>417</v>
      </c>
      <c r="B158" s="19">
        <v>1.3221217409699086E-5</v>
      </c>
      <c r="C158" s="16">
        <v>0</v>
      </c>
      <c r="D158" s="19">
        <v>0</v>
      </c>
      <c r="E158" s="16">
        <v>0</v>
      </c>
      <c r="F158" s="19">
        <v>2.4413131212951166E-4</v>
      </c>
      <c r="G158" s="16">
        <v>0</v>
      </c>
      <c r="H158" s="22">
        <v>0</v>
      </c>
      <c r="I158" s="25">
        <v>0</v>
      </c>
      <c r="J158" s="22">
        <v>0</v>
      </c>
      <c r="K158" s="25">
        <v>0</v>
      </c>
      <c r="L158" s="22">
        <v>1.2296190640139685E-5</v>
      </c>
      <c r="M158" s="25">
        <v>0</v>
      </c>
      <c r="N158" s="19">
        <v>0</v>
      </c>
      <c r="O158" s="19">
        <v>0</v>
      </c>
      <c r="P158" s="16">
        <v>0</v>
      </c>
      <c r="Q158" s="19">
        <v>0</v>
      </c>
      <c r="R158" s="16">
        <v>0</v>
      </c>
      <c r="S158" s="25">
        <v>0</v>
      </c>
      <c r="T158" s="22">
        <v>0</v>
      </c>
      <c r="U158" s="25">
        <v>0</v>
      </c>
      <c r="V158" s="22">
        <v>0</v>
      </c>
      <c r="W158" s="25">
        <v>0</v>
      </c>
    </row>
    <row r="159" spans="1:23" x14ac:dyDescent="0.2">
      <c r="A159" s="6" t="s">
        <v>416</v>
      </c>
      <c r="B159" s="19">
        <v>0</v>
      </c>
      <c r="C159" s="16">
        <v>1.3157530262319602E-4</v>
      </c>
      <c r="D159" s="19">
        <v>7.1060579143720015E-5</v>
      </c>
      <c r="E159" s="16">
        <v>4.754950242842102E-5</v>
      </c>
      <c r="F159" s="19">
        <v>9.7652524851804664E-4</v>
      </c>
      <c r="G159" s="16">
        <v>3.4438819437269692E-4</v>
      </c>
      <c r="H159" s="22">
        <v>3.8504963224496986E-4</v>
      </c>
      <c r="I159" s="25">
        <v>1.1590768596744281E-4</v>
      </c>
      <c r="J159" s="22">
        <v>1.1998400213304893E-4</v>
      </c>
      <c r="K159" s="25">
        <v>0</v>
      </c>
      <c r="L159" s="22">
        <v>3.0125667068342228E-4</v>
      </c>
      <c r="M159" s="25">
        <v>1.9953441968739607E-4</v>
      </c>
      <c r="N159" s="19">
        <v>2.0917626387286864E-4</v>
      </c>
      <c r="O159" s="19">
        <v>7.1093416749608989E-5</v>
      </c>
      <c r="P159" s="16">
        <v>0</v>
      </c>
      <c r="Q159" s="19">
        <v>1.0675491739838266E-4</v>
      </c>
      <c r="R159" s="16">
        <v>6.426827004098888E-5</v>
      </c>
      <c r="S159" s="25">
        <v>0</v>
      </c>
      <c r="T159" s="22">
        <v>8.1505256773150019E-4</v>
      </c>
      <c r="U159" s="25">
        <v>7.0028011204481788E-5</v>
      </c>
      <c r="V159" s="22">
        <v>6.9317100528700436E-5</v>
      </c>
      <c r="W159" s="25">
        <v>9.0665567690088609E-5</v>
      </c>
    </row>
    <row r="160" spans="1:23" x14ac:dyDescent="0.2">
      <c r="A160" s="6" t="s">
        <v>415</v>
      </c>
      <c r="B160" s="19">
        <v>1.2560156539214128E-3</v>
      </c>
      <c r="C160" s="16">
        <v>6.2325143347829697E-5</v>
      </c>
      <c r="D160" s="19">
        <v>6.3243915437910818E-4</v>
      </c>
      <c r="E160" s="16">
        <v>1.3585572122406007E-4</v>
      </c>
      <c r="F160" s="19">
        <v>9.6889614501399941E-4</v>
      </c>
      <c r="G160" s="16">
        <v>1.7219409718634846E-5</v>
      </c>
      <c r="H160" s="22">
        <v>0</v>
      </c>
      <c r="I160" s="25">
        <v>4.5075211209561096E-5</v>
      </c>
      <c r="J160" s="22">
        <v>2.6663111585121983E-5</v>
      </c>
      <c r="K160" s="25">
        <v>0</v>
      </c>
      <c r="L160" s="22">
        <v>7.3777143840838134E-4</v>
      </c>
      <c r="M160" s="25">
        <v>0</v>
      </c>
      <c r="N160" s="19">
        <v>1.0578342487285071E-3</v>
      </c>
      <c r="O160" s="19">
        <v>4.6605684313632553E-4</v>
      </c>
      <c r="P160" s="16">
        <v>4.3972530101783476E-4</v>
      </c>
      <c r="Q160" s="19">
        <v>2.6688729349595664E-5</v>
      </c>
      <c r="R160" s="16">
        <v>7.8550107827875289E-5</v>
      </c>
      <c r="S160" s="25">
        <v>0</v>
      </c>
      <c r="T160" s="22">
        <v>1.2636473918317832E-5</v>
      </c>
      <c r="U160" s="25">
        <v>1.2732365673542144E-5</v>
      </c>
      <c r="V160" s="22">
        <v>0</v>
      </c>
      <c r="W160" s="25">
        <v>0</v>
      </c>
    </row>
    <row r="161" spans="1:23" x14ac:dyDescent="0.2">
      <c r="A161" s="6" t="s">
        <v>414</v>
      </c>
      <c r="B161" s="19">
        <v>4.8323549632450164E-3</v>
      </c>
      <c r="C161" s="16">
        <v>1.0145148333841168E-2</v>
      </c>
      <c r="D161" s="19">
        <v>8.5130573814176588E-3</v>
      </c>
      <c r="E161" s="16">
        <v>7.6622626770369859E-3</v>
      </c>
      <c r="F161" s="19">
        <v>6.4313342539118216E-3</v>
      </c>
      <c r="G161" s="16">
        <v>5.8545993043358493E-3</v>
      </c>
      <c r="H161" s="22">
        <v>3.733023553290216E-3</v>
      </c>
      <c r="I161" s="25">
        <v>6.5745415207088403E-3</v>
      </c>
      <c r="J161" s="22">
        <v>8.8454872683642188E-3</v>
      </c>
      <c r="K161" s="25">
        <v>7.6878736695353772E-3</v>
      </c>
      <c r="L161" s="22">
        <v>3.707301478002115E-3</v>
      </c>
      <c r="M161" s="25">
        <v>3.9707349517791816E-3</v>
      </c>
      <c r="N161" s="19">
        <v>4.6496895226597655E-3</v>
      </c>
      <c r="O161" s="19">
        <v>5.7901638308292657E-3</v>
      </c>
      <c r="P161" s="16">
        <v>5.1021068015157586E-3</v>
      </c>
      <c r="Q161" s="19">
        <v>6.3385732205289711E-3</v>
      </c>
      <c r="R161" s="16">
        <v>5.2628572244676434E-3</v>
      </c>
      <c r="S161" s="25">
        <v>4.031764637688626E-3</v>
      </c>
      <c r="T161" s="22">
        <v>7.0637889203396696E-3</v>
      </c>
      <c r="U161" s="25">
        <v>7.7476445123503953E-3</v>
      </c>
      <c r="V161" s="22">
        <v>8.3054489542570137E-3</v>
      </c>
      <c r="W161" s="25">
        <v>1.1135380177209971E-2</v>
      </c>
    </row>
    <row r="162" spans="1:23" x14ac:dyDescent="0.2">
      <c r="A162" s="6" t="s">
        <v>413</v>
      </c>
      <c r="B162" s="19">
        <v>6.0156539214130823E-4</v>
      </c>
      <c r="C162" s="16">
        <v>2.8392565302900194E-4</v>
      </c>
      <c r="D162" s="19">
        <v>2.344999111742761E-4</v>
      </c>
      <c r="E162" s="16">
        <v>1.9019800971368405E-4</v>
      </c>
      <c r="F162" s="19">
        <v>5.8744096981163741E-4</v>
      </c>
      <c r="G162" s="16">
        <v>3.4438819437269692E-5</v>
      </c>
      <c r="H162" s="22">
        <v>0</v>
      </c>
      <c r="I162" s="25">
        <v>4.5075211209561096E-5</v>
      </c>
      <c r="J162" s="22">
        <v>0</v>
      </c>
      <c r="K162" s="25">
        <v>0</v>
      </c>
      <c r="L162" s="22">
        <v>4.734033396453778E-4</v>
      </c>
      <c r="M162" s="25">
        <v>0</v>
      </c>
      <c r="N162" s="19">
        <v>8.8451677294813032E-4</v>
      </c>
      <c r="O162" s="19">
        <v>3.9496342638671656E-5</v>
      </c>
      <c r="P162" s="16">
        <v>9.9584847583450821E-4</v>
      </c>
      <c r="Q162" s="19">
        <v>9.3410552723584826E-5</v>
      </c>
      <c r="R162" s="16">
        <v>1.5710021565575061E-4</v>
      </c>
      <c r="S162" s="25">
        <v>0</v>
      </c>
      <c r="T162" s="22">
        <v>8.2137080469065916E-5</v>
      </c>
      <c r="U162" s="25">
        <v>0</v>
      </c>
      <c r="V162" s="22">
        <v>5.0412436748145764E-5</v>
      </c>
      <c r="W162" s="25">
        <v>0</v>
      </c>
    </row>
    <row r="163" spans="1:23" x14ac:dyDescent="0.2">
      <c r="A163" s="6" t="s">
        <v>412</v>
      </c>
      <c r="B163" s="19">
        <v>9.3606219260669535E-3</v>
      </c>
      <c r="C163" s="16">
        <v>1.7291764771058968E-2</v>
      </c>
      <c r="D163" s="19">
        <v>1.1440753242138923E-2</v>
      </c>
      <c r="E163" s="16">
        <v>2.022891689026254E-2</v>
      </c>
      <c r="F163" s="19">
        <v>9.7576233816764179E-3</v>
      </c>
      <c r="G163" s="16">
        <v>1.5531907566208633E-2</v>
      </c>
      <c r="H163" s="22">
        <v>4.2094408948814494E-3</v>
      </c>
      <c r="I163" s="25">
        <v>9.8972285184422033E-3</v>
      </c>
      <c r="J163" s="22">
        <v>4.7460338621517131E-3</v>
      </c>
      <c r="K163" s="25">
        <v>6.5819458966728346E-3</v>
      </c>
      <c r="L163" s="22">
        <v>5.3918795957012509E-3</v>
      </c>
      <c r="M163" s="25">
        <v>5.5869637512470909E-3</v>
      </c>
      <c r="N163" s="19">
        <v>1.812064091607251E-2</v>
      </c>
      <c r="O163" s="19">
        <v>2.4203358768977994E-2</v>
      </c>
      <c r="P163" s="16">
        <v>2.4062027133637694E-2</v>
      </c>
      <c r="Q163" s="19">
        <v>1.1235955056179775E-2</v>
      </c>
      <c r="R163" s="16">
        <v>1.2296662334509201E-2</v>
      </c>
      <c r="S163" s="25">
        <v>4.2314207139958898E-3</v>
      </c>
      <c r="T163" s="22">
        <v>9.2498989082086518E-3</v>
      </c>
      <c r="U163" s="25">
        <v>9.7848230201171369E-3</v>
      </c>
      <c r="V163" s="22">
        <v>5.3689245136775247E-3</v>
      </c>
      <c r="W163" s="25">
        <v>9.0253451473315486E-3</v>
      </c>
    </row>
    <row r="164" spans="1:23" x14ac:dyDescent="0.2">
      <c r="A164" s="6" t="s">
        <v>411</v>
      </c>
      <c r="B164" s="19">
        <v>1.0015072187847054E-2</v>
      </c>
      <c r="C164" s="16">
        <v>6.9527159912467799E-3</v>
      </c>
      <c r="D164" s="19">
        <v>9.4368449102860148E-3</v>
      </c>
      <c r="E164" s="16">
        <v>5.6719763611045087E-3</v>
      </c>
      <c r="F164" s="19">
        <v>7.1179535692760748E-3</v>
      </c>
      <c r="G164" s="16">
        <v>4.9677997038261538E-3</v>
      </c>
      <c r="H164" s="22">
        <v>6.8395256710631945E-3</v>
      </c>
      <c r="I164" s="25">
        <v>4.1533587471666994E-3</v>
      </c>
      <c r="J164" s="22">
        <v>5.1793094254099451E-3</v>
      </c>
      <c r="K164" s="25">
        <v>3.6126973913509748E-3</v>
      </c>
      <c r="L164" s="22">
        <v>8.3183729680545021E-3</v>
      </c>
      <c r="M164" s="25">
        <v>6.0857998004655821E-3</v>
      </c>
      <c r="N164" s="19">
        <v>1.0034484201215613E-2</v>
      </c>
      <c r="O164" s="19">
        <v>1.2354455977376493E-2</v>
      </c>
      <c r="P164" s="16">
        <v>4.675314597586684E-3</v>
      </c>
      <c r="Q164" s="19">
        <v>6.3786063145533653E-3</v>
      </c>
      <c r="R164" s="16">
        <v>7.0338051100415572E-3</v>
      </c>
      <c r="S164" s="25">
        <v>6.1313736982101805E-3</v>
      </c>
      <c r="T164" s="22">
        <v>1.0602001617468647E-2</v>
      </c>
      <c r="U164" s="25">
        <v>5.5385790679908335E-3</v>
      </c>
      <c r="V164" s="22">
        <v>4.8963079191636609E-3</v>
      </c>
      <c r="W164" s="25">
        <v>2.9754790851019989E-3</v>
      </c>
    </row>
    <row r="165" spans="1:23" x14ac:dyDescent="0.2">
      <c r="A165" s="6" t="s">
        <v>410</v>
      </c>
      <c r="B165" s="19">
        <v>0</v>
      </c>
      <c r="C165" s="16">
        <v>0</v>
      </c>
      <c r="D165" s="19">
        <v>0</v>
      </c>
      <c r="E165" s="16">
        <v>0</v>
      </c>
      <c r="F165" s="19">
        <v>0</v>
      </c>
      <c r="G165" s="16">
        <v>1.7219409718634846E-5</v>
      </c>
      <c r="H165" s="22">
        <v>0</v>
      </c>
      <c r="I165" s="25">
        <v>0</v>
      </c>
      <c r="J165" s="22">
        <v>0</v>
      </c>
      <c r="K165" s="25">
        <v>0</v>
      </c>
      <c r="L165" s="22">
        <v>1.8444285960209527E-5</v>
      </c>
      <c r="M165" s="25">
        <v>0</v>
      </c>
      <c r="N165" s="19">
        <v>0</v>
      </c>
      <c r="O165" s="19">
        <v>0</v>
      </c>
      <c r="P165" s="16">
        <v>0</v>
      </c>
      <c r="Q165" s="19">
        <v>0</v>
      </c>
      <c r="R165" s="16">
        <v>0</v>
      </c>
      <c r="S165" s="25">
        <v>0</v>
      </c>
      <c r="T165" s="22">
        <v>0</v>
      </c>
      <c r="U165" s="25">
        <v>0</v>
      </c>
      <c r="V165" s="22">
        <v>0</v>
      </c>
      <c r="W165" s="25">
        <v>0</v>
      </c>
    </row>
    <row r="166" spans="1:23" x14ac:dyDescent="0.2">
      <c r="A166" s="6" t="s">
        <v>409</v>
      </c>
      <c r="B166" s="19">
        <v>0</v>
      </c>
      <c r="C166" s="16">
        <v>0</v>
      </c>
      <c r="D166" s="19">
        <v>0</v>
      </c>
      <c r="E166" s="16">
        <v>0</v>
      </c>
      <c r="F166" s="19">
        <v>0</v>
      </c>
      <c r="G166" s="16">
        <v>2.5829114577952269E-5</v>
      </c>
      <c r="H166" s="22">
        <v>2.0884047850574638E-4</v>
      </c>
      <c r="I166" s="25">
        <v>0</v>
      </c>
      <c r="J166" s="22">
        <v>0</v>
      </c>
      <c r="K166" s="25">
        <v>0</v>
      </c>
      <c r="L166" s="22">
        <v>0</v>
      </c>
      <c r="M166" s="25">
        <v>0</v>
      </c>
      <c r="N166" s="19">
        <v>0</v>
      </c>
      <c r="O166" s="19">
        <v>0</v>
      </c>
      <c r="P166" s="16">
        <v>0</v>
      </c>
      <c r="Q166" s="19">
        <v>2.6688729349595664E-5</v>
      </c>
      <c r="R166" s="16">
        <v>0</v>
      </c>
      <c r="S166" s="25">
        <v>0</v>
      </c>
      <c r="T166" s="22">
        <v>0</v>
      </c>
      <c r="U166" s="25">
        <v>0</v>
      </c>
      <c r="V166" s="22">
        <v>0</v>
      </c>
      <c r="W166" s="25">
        <v>0</v>
      </c>
    </row>
    <row r="167" spans="1:23" x14ac:dyDescent="0.2">
      <c r="A167" s="6" t="s">
        <v>408</v>
      </c>
      <c r="B167" s="19">
        <v>0</v>
      </c>
      <c r="C167" s="16">
        <v>0</v>
      </c>
      <c r="D167" s="19">
        <v>0</v>
      </c>
      <c r="E167" s="16">
        <v>0</v>
      </c>
      <c r="F167" s="19">
        <v>0</v>
      </c>
      <c r="G167" s="16">
        <v>0</v>
      </c>
      <c r="H167" s="22">
        <v>0</v>
      </c>
      <c r="I167" s="25">
        <v>0</v>
      </c>
      <c r="J167" s="22">
        <v>0</v>
      </c>
      <c r="K167" s="25">
        <v>0</v>
      </c>
      <c r="L167" s="22">
        <v>0</v>
      </c>
      <c r="M167" s="25">
        <v>0</v>
      </c>
      <c r="N167" s="19">
        <v>0</v>
      </c>
      <c r="O167" s="19">
        <v>0</v>
      </c>
      <c r="P167" s="16">
        <v>0</v>
      </c>
      <c r="Q167" s="19">
        <v>0</v>
      </c>
      <c r="R167" s="16">
        <v>0</v>
      </c>
      <c r="S167" s="25">
        <v>0</v>
      </c>
      <c r="T167" s="22">
        <v>0</v>
      </c>
      <c r="U167" s="25">
        <v>0</v>
      </c>
      <c r="V167" s="22">
        <v>3.7809327561109323E-5</v>
      </c>
      <c r="W167" s="25">
        <v>0</v>
      </c>
    </row>
    <row r="168" spans="1:23" x14ac:dyDescent="0.2">
      <c r="A168" s="6" t="s">
        <v>407</v>
      </c>
      <c r="B168" s="19">
        <v>0</v>
      </c>
      <c r="C168" s="16">
        <v>0</v>
      </c>
      <c r="D168" s="19">
        <v>0</v>
      </c>
      <c r="E168" s="16">
        <v>0</v>
      </c>
      <c r="F168" s="19">
        <v>0</v>
      </c>
      <c r="G168" s="16">
        <v>0</v>
      </c>
      <c r="H168" s="22">
        <v>0</v>
      </c>
      <c r="I168" s="25">
        <v>0</v>
      </c>
      <c r="J168" s="22">
        <v>0</v>
      </c>
      <c r="K168" s="25">
        <v>0</v>
      </c>
      <c r="L168" s="22">
        <v>0</v>
      </c>
      <c r="M168" s="25">
        <v>0</v>
      </c>
      <c r="N168" s="19">
        <v>0</v>
      </c>
      <c r="O168" s="19">
        <v>0</v>
      </c>
      <c r="P168" s="16">
        <v>0</v>
      </c>
      <c r="Q168" s="19">
        <v>0</v>
      </c>
      <c r="R168" s="16">
        <v>0</v>
      </c>
      <c r="S168" s="25">
        <v>0</v>
      </c>
      <c r="T168" s="22">
        <v>1.8954710877476749E-5</v>
      </c>
      <c r="U168" s="25">
        <v>0</v>
      </c>
      <c r="V168" s="22">
        <v>0</v>
      </c>
      <c r="W168" s="25">
        <v>0</v>
      </c>
    </row>
    <row r="169" spans="1:23" x14ac:dyDescent="0.2">
      <c r="A169" s="6" t="s">
        <v>406</v>
      </c>
      <c r="B169" s="19">
        <v>1.7848643503093765E-4</v>
      </c>
      <c r="C169" s="16">
        <v>0</v>
      </c>
      <c r="D169" s="19">
        <v>1.6343933203055605E-4</v>
      </c>
      <c r="E169" s="16">
        <v>4.754950242842102E-5</v>
      </c>
      <c r="F169" s="19">
        <v>1.6021117358499203E-4</v>
      </c>
      <c r="G169" s="16">
        <v>1.0331645831180907E-4</v>
      </c>
      <c r="H169" s="22">
        <v>1.4879884093534431E-3</v>
      </c>
      <c r="I169" s="25">
        <v>7.7271790644961881E-5</v>
      </c>
      <c r="J169" s="22">
        <v>9.9986668444207444E-5</v>
      </c>
      <c r="K169" s="25">
        <v>0</v>
      </c>
      <c r="L169" s="22">
        <v>3.4429333792391115E-4</v>
      </c>
      <c r="M169" s="25">
        <v>2.3944130362487528E-4</v>
      </c>
      <c r="N169" s="19">
        <v>0</v>
      </c>
      <c r="O169" s="19">
        <v>3.1597074110937325E-4</v>
      </c>
      <c r="P169" s="16">
        <v>0</v>
      </c>
      <c r="Q169" s="19">
        <v>1.4678801142277615E-4</v>
      </c>
      <c r="R169" s="16">
        <v>0</v>
      </c>
      <c r="S169" s="25">
        <v>0</v>
      </c>
      <c r="T169" s="22">
        <v>1.4279215527699151E-3</v>
      </c>
      <c r="U169" s="25">
        <v>1.5278838808250572E-4</v>
      </c>
      <c r="V169" s="22">
        <v>6.3015545935182212E-5</v>
      </c>
      <c r="W169" s="25">
        <v>0</v>
      </c>
    </row>
    <row r="170" spans="1:23" x14ac:dyDescent="0.2">
      <c r="A170" s="6" t="s">
        <v>405</v>
      </c>
      <c r="B170" s="19">
        <v>0</v>
      </c>
      <c r="C170" s="16">
        <v>9.6950222985512865E-5</v>
      </c>
      <c r="D170" s="19">
        <v>4.9742405400604016E-5</v>
      </c>
      <c r="E170" s="16">
        <v>0</v>
      </c>
      <c r="F170" s="19">
        <v>0</v>
      </c>
      <c r="G170" s="16">
        <v>0</v>
      </c>
      <c r="H170" s="22">
        <v>0</v>
      </c>
      <c r="I170" s="25">
        <v>0</v>
      </c>
      <c r="J170" s="22">
        <v>5.9992001066524464E-5</v>
      </c>
      <c r="K170" s="25">
        <v>1.0053888844204939E-4</v>
      </c>
      <c r="L170" s="22">
        <v>4.918476256055874E-5</v>
      </c>
      <c r="M170" s="25">
        <v>1.3302294645826406E-4</v>
      </c>
      <c r="N170" s="19">
        <v>1.4343515236996706E-4</v>
      </c>
      <c r="O170" s="19">
        <v>0</v>
      </c>
      <c r="P170" s="16">
        <v>0</v>
      </c>
      <c r="Q170" s="19">
        <v>0</v>
      </c>
      <c r="R170" s="16">
        <v>0</v>
      </c>
      <c r="S170" s="25">
        <v>7.7286223086682937E-4</v>
      </c>
      <c r="T170" s="22">
        <v>6.0655074807925596E-4</v>
      </c>
      <c r="U170" s="25">
        <v>1.9098548510313216E-4</v>
      </c>
      <c r="V170" s="22">
        <v>0</v>
      </c>
      <c r="W170" s="25">
        <v>2.2254275705749021E-4</v>
      </c>
    </row>
    <row r="171" spans="1:23" x14ac:dyDescent="0.2">
      <c r="A171" s="6" t="s">
        <v>404</v>
      </c>
      <c r="B171" s="19">
        <v>2.2476069596488445E-4</v>
      </c>
      <c r="C171" s="16">
        <v>1.3850031855073266E-5</v>
      </c>
      <c r="D171" s="19">
        <v>7.8166637058092026E-5</v>
      </c>
      <c r="E171" s="16">
        <v>9.5099004856842026E-5</v>
      </c>
      <c r="F171" s="19">
        <v>0</v>
      </c>
      <c r="G171" s="16">
        <v>1.4636498260839619E-4</v>
      </c>
      <c r="H171" s="22">
        <v>2.1536674345905095E-4</v>
      </c>
      <c r="I171" s="25">
        <v>0</v>
      </c>
      <c r="J171" s="22">
        <v>0</v>
      </c>
      <c r="K171" s="25">
        <v>0</v>
      </c>
      <c r="L171" s="22">
        <v>2.0903524088237464E-4</v>
      </c>
      <c r="M171" s="25">
        <v>7.3162620552045231E-5</v>
      </c>
      <c r="N171" s="19">
        <v>1.1952929364163923E-4</v>
      </c>
      <c r="O171" s="19">
        <v>5.5294879694140322E-4</v>
      </c>
      <c r="P171" s="16">
        <v>0</v>
      </c>
      <c r="Q171" s="19">
        <v>3.2026475219514797E-4</v>
      </c>
      <c r="R171" s="16">
        <v>2.8563675573772835E-5</v>
      </c>
      <c r="S171" s="25">
        <v>0</v>
      </c>
      <c r="T171" s="22">
        <v>4.2964011322280631E-4</v>
      </c>
      <c r="U171" s="25">
        <v>2.5464731347084288E-5</v>
      </c>
      <c r="V171" s="22">
        <v>1.2603109187036442E-4</v>
      </c>
      <c r="W171" s="25">
        <v>1.6484648670925202E-5</v>
      </c>
    </row>
    <row r="172" spans="1:23" x14ac:dyDescent="0.2">
      <c r="A172" s="6" t="s">
        <v>403</v>
      </c>
      <c r="B172" s="19">
        <v>1.3221217409699085E-4</v>
      </c>
      <c r="C172" s="16">
        <v>0</v>
      </c>
      <c r="D172" s="19">
        <v>1.0659086871558003E-4</v>
      </c>
      <c r="E172" s="16">
        <v>4.754950242842102E-5</v>
      </c>
      <c r="F172" s="19">
        <v>1.4495296657689755E-4</v>
      </c>
      <c r="G172" s="16">
        <v>2.5829114577952269E-5</v>
      </c>
      <c r="H172" s="22">
        <v>1.1029387771084732E-3</v>
      </c>
      <c r="I172" s="25">
        <v>0</v>
      </c>
      <c r="J172" s="22">
        <v>0</v>
      </c>
      <c r="K172" s="25">
        <v>0</v>
      </c>
      <c r="L172" s="22">
        <v>1.2911000172146668E-4</v>
      </c>
      <c r="M172" s="25">
        <v>6.6511473229132029E-5</v>
      </c>
      <c r="N172" s="19">
        <v>0</v>
      </c>
      <c r="O172" s="19">
        <v>8.2152392688437058E-4</v>
      </c>
      <c r="P172" s="16">
        <v>0</v>
      </c>
      <c r="Q172" s="19">
        <v>1.7347674077237182E-4</v>
      </c>
      <c r="R172" s="16">
        <v>0</v>
      </c>
      <c r="S172" s="25">
        <v>3.8643111543341467E-5</v>
      </c>
      <c r="T172" s="22">
        <v>3.8541245450869393E-4</v>
      </c>
      <c r="U172" s="25">
        <v>0</v>
      </c>
      <c r="V172" s="22">
        <v>1.1342798268332798E-4</v>
      </c>
      <c r="W172" s="25">
        <v>0</v>
      </c>
    </row>
    <row r="173" spans="1:23" x14ac:dyDescent="0.2">
      <c r="A173" s="6" t="s">
        <v>402</v>
      </c>
      <c r="B173" s="19">
        <v>0</v>
      </c>
      <c r="C173" s="16">
        <v>0</v>
      </c>
      <c r="D173" s="19">
        <v>1.5633327411618405E-4</v>
      </c>
      <c r="E173" s="16">
        <v>0</v>
      </c>
      <c r="F173" s="19">
        <v>0</v>
      </c>
      <c r="G173" s="16">
        <v>0</v>
      </c>
      <c r="H173" s="22">
        <v>0</v>
      </c>
      <c r="I173" s="25">
        <v>0</v>
      </c>
      <c r="J173" s="22">
        <v>0</v>
      </c>
      <c r="K173" s="25">
        <v>0</v>
      </c>
      <c r="L173" s="22">
        <v>0</v>
      </c>
      <c r="M173" s="25">
        <v>0</v>
      </c>
      <c r="N173" s="19">
        <v>0</v>
      </c>
      <c r="O173" s="19">
        <v>0</v>
      </c>
      <c r="P173" s="16">
        <v>0</v>
      </c>
      <c r="Q173" s="19">
        <v>0</v>
      </c>
      <c r="R173" s="16">
        <v>0</v>
      </c>
      <c r="S173" s="25">
        <v>0</v>
      </c>
      <c r="T173" s="22">
        <v>5.0545895673271327E-5</v>
      </c>
      <c r="U173" s="25">
        <v>0</v>
      </c>
      <c r="V173" s="22">
        <v>0</v>
      </c>
      <c r="W173" s="25">
        <v>0</v>
      </c>
    </row>
    <row r="174" spans="1:23" x14ac:dyDescent="0.2">
      <c r="A174" s="6" t="s">
        <v>401</v>
      </c>
      <c r="B174" s="19">
        <v>0</v>
      </c>
      <c r="C174" s="16">
        <v>1.3850031855073266E-5</v>
      </c>
      <c r="D174" s="19">
        <v>0</v>
      </c>
      <c r="E174" s="16">
        <v>0</v>
      </c>
      <c r="F174" s="19">
        <v>0</v>
      </c>
      <c r="G174" s="16">
        <v>0</v>
      </c>
      <c r="H174" s="22">
        <v>0</v>
      </c>
      <c r="I174" s="25">
        <v>0</v>
      </c>
      <c r="J174" s="22">
        <v>0</v>
      </c>
      <c r="K174" s="25">
        <v>0</v>
      </c>
      <c r="L174" s="22">
        <v>0</v>
      </c>
      <c r="M174" s="25">
        <v>0</v>
      </c>
      <c r="N174" s="19">
        <v>0</v>
      </c>
      <c r="O174" s="19">
        <v>0</v>
      </c>
      <c r="P174" s="16">
        <v>0</v>
      </c>
      <c r="Q174" s="19">
        <v>0</v>
      </c>
      <c r="R174" s="16">
        <v>0</v>
      </c>
      <c r="S174" s="25">
        <v>0</v>
      </c>
      <c r="T174" s="22">
        <v>0</v>
      </c>
      <c r="U174" s="25">
        <v>0</v>
      </c>
      <c r="V174" s="22">
        <v>0</v>
      </c>
      <c r="W174" s="25">
        <v>0</v>
      </c>
    </row>
    <row r="175" spans="1:23" x14ac:dyDescent="0.2">
      <c r="A175" s="6" t="s">
        <v>400</v>
      </c>
      <c r="B175" s="19">
        <v>2.9681633084774448E-3</v>
      </c>
      <c r="C175" s="16">
        <v>1.191102739536301E-3</v>
      </c>
      <c r="D175" s="19">
        <v>1.5846509149049564E-3</v>
      </c>
      <c r="E175" s="16">
        <v>1.0664674116088713E-3</v>
      </c>
      <c r="F175" s="19">
        <v>5.9507007331568464E-4</v>
      </c>
      <c r="G175" s="16">
        <v>6.4572786444880672E-4</v>
      </c>
      <c r="H175" s="22">
        <v>1.0311498626221227E-3</v>
      </c>
      <c r="I175" s="25">
        <v>6.3749227282093547E-4</v>
      </c>
      <c r="J175" s="22">
        <v>9.332089054792694E-5</v>
      </c>
      <c r="K175" s="25">
        <v>1.0724148100485267E-4</v>
      </c>
      <c r="L175" s="22">
        <v>1.1435457295329906E-3</v>
      </c>
      <c r="M175" s="25">
        <v>9.3116062520784838E-4</v>
      </c>
      <c r="N175" s="19">
        <v>2.3666800141044567E-3</v>
      </c>
      <c r="O175" s="19">
        <v>1.2085880847433528E-3</v>
      </c>
      <c r="P175" s="16">
        <v>9.5704918456822861E-4</v>
      </c>
      <c r="Q175" s="19">
        <v>1.4678801142277615E-3</v>
      </c>
      <c r="R175" s="16">
        <v>1.1282651851640267E-3</v>
      </c>
      <c r="S175" s="25">
        <v>1.4169140899225206E-4</v>
      </c>
      <c r="T175" s="22">
        <v>1.6743327941771129E-3</v>
      </c>
      <c r="U175" s="25">
        <v>2.6737967914438503E-4</v>
      </c>
      <c r="V175" s="22">
        <v>1.0208518441499519E-3</v>
      </c>
      <c r="W175" s="25">
        <v>9.890789202555121E-5</v>
      </c>
    </row>
    <row r="176" spans="1:23" x14ac:dyDescent="0.2">
      <c r="A176" s="6" t="s">
        <v>399</v>
      </c>
      <c r="B176" s="19">
        <v>1.3882278280184039E-4</v>
      </c>
      <c r="C176" s="16">
        <v>0</v>
      </c>
      <c r="D176" s="19">
        <v>4.2636347486232012E-5</v>
      </c>
      <c r="E176" s="16">
        <v>0</v>
      </c>
      <c r="F176" s="19">
        <v>0</v>
      </c>
      <c r="G176" s="16">
        <v>0</v>
      </c>
      <c r="H176" s="22">
        <v>1.0442023925287319E-4</v>
      </c>
      <c r="I176" s="25">
        <v>0</v>
      </c>
      <c r="J176" s="22">
        <v>0</v>
      </c>
      <c r="K176" s="25">
        <v>0</v>
      </c>
      <c r="L176" s="22">
        <v>3.6888571920419054E-5</v>
      </c>
      <c r="M176" s="25">
        <v>5.3209178583305619E-5</v>
      </c>
      <c r="N176" s="19">
        <v>0</v>
      </c>
      <c r="O176" s="19">
        <v>1.2638829644374931E-4</v>
      </c>
      <c r="P176" s="16">
        <v>0</v>
      </c>
      <c r="Q176" s="19">
        <v>0</v>
      </c>
      <c r="R176" s="16">
        <v>0</v>
      </c>
      <c r="S176" s="25">
        <v>0</v>
      </c>
      <c r="T176" s="22">
        <v>3.7909421754953493E-4</v>
      </c>
      <c r="U176" s="25">
        <v>0</v>
      </c>
      <c r="V176" s="22">
        <v>0</v>
      </c>
      <c r="W176" s="25">
        <v>0</v>
      </c>
    </row>
    <row r="177" spans="1:23" x14ac:dyDescent="0.2">
      <c r="A177" s="6" t="s">
        <v>398</v>
      </c>
      <c r="B177" s="19">
        <v>3.3053043524247709E-4</v>
      </c>
      <c r="C177" s="16">
        <v>3.4625079637683168E-5</v>
      </c>
      <c r="D177" s="19">
        <v>1.9612719843666729E-3</v>
      </c>
      <c r="E177" s="16">
        <v>1.0121251231192474E-3</v>
      </c>
      <c r="F177" s="19">
        <v>8.5445959245329087E-4</v>
      </c>
      <c r="G177" s="16">
        <v>1.0503839928367258E-3</v>
      </c>
      <c r="H177" s="22">
        <v>4.0658630659087501E-3</v>
      </c>
      <c r="I177" s="25">
        <v>4.5075211209561102E-4</v>
      </c>
      <c r="J177" s="22">
        <v>1.386481802426343E-3</v>
      </c>
      <c r="K177" s="25">
        <v>1.0724148100485268E-3</v>
      </c>
      <c r="L177" s="22">
        <v>6.0251334136684446E-4</v>
      </c>
      <c r="M177" s="25">
        <v>2.1283671433322248E-4</v>
      </c>
      <c r="N177" s="19">
        <v>6.6338757971109768E-4</v>
      </c>
      <c r="O177" s="19">
        <v>7.3463197307929284E-4</v>
      </c>
      <c r="P177" s="16">
        <v>2.0046300487577763E-4</v>
      </c>
      <c r="Q177" s="19">
        <v>1.2276815500814003E-3</v>
      </c>
      <c r="R177" s="16">
        <v>3.2848226909838757E-4</v>
      </c>
      <c r="S177" s="25">
        <v>5.5388459878789442E-4</v>
      </c>
      <c r="T177" s="22">
        <v>1.9712899312575817E-3</v>
      </c>
      <c r="U177" s="25">
        <v>1.9735166793990321E-3</v>
      </c>
      <c r="V177" s="22">
        <v>7.9399587878329595E-4</v>
      </c>
      <c r="W177" s="25">
        <v>1.1291984339583763E-3</v>
      </c>
    </row>
    <row r="178" spans="1:23" x14ac:dyDescent="0.2">
      <c r="A178" s="6" t="s">
        <v>397</v>
      </c>
      <c r="B178" s="19">
        <v>5.5205193294198526E-2</v>
      </c>
      <c r="C178" s="16">
        <v>8.7123625384338335E-2</v>
      </c>
      <c r="D178" s="19">
        <v>4.3808847042103402E-2</v>
      </c>
      <c r="E178" s="16">
        <v>5.8064735251163284E-2</v>
      </c>
      <c r="F178" s="19">
        <v>2.6251745157426558E-2</v>
      </c>
      <c r="G178" s="16">
        <v>8.1533905017735969E-2</v>
      </c>
      <c r="H178" s="22">
        <v>6.6528744933986805E-2</v>
      </c>
      <c r="I178" s="25">
        <v>6.5339738306202336E-2</v>
      </c>
      <c r="J178" s="22">
        <v>6.0091987734968662E-2</v>
      </c>
      <c r="K178" s="25">
        <v>6.5430708598085696E-2</v>
      </c>
      <c r="L178" s="22">
        <v>4.1358237218109835E-2</v>
      </c>
      <c r="M178" s="25">
        <v>4.0159627535749941E-2</v>
      </c>
      <c r="N178" s="19">
        <v>4.3317416015730061E-2</v>
      </c>
      <c r="O178" s="19">
        <v>5.2751315228209895E-2</v>
      </c>
      <c r="P178" s="16">
        <v>7.3388859430167805E-2</v>
      </c>
      <c r="Q178" s="19">
        <v>5.9195601697403191E-2</v>
      </c>
      <c r="R178" s="16">
        <v>7.9342749825047784E-2</v>
      </c>
      <c r="S178" s="25">
        <v>3.9828166964003903E-2</v>
      </c>
      <c r="T178" s="22">
        <v>4.7841690254751219E-2</v>
      </c>
      <c r="U178" s="25">
        <v>5.9269162210338684E-2</v>
      </c>
      <c r="V178" s="22">
        <v>5.8094031797644448E-2</v>
      </c>
      <c r="W178" s="25">
        <v>9.2890995260663425E-2</v>
      </c>
    </row>
    <row r="179" spans="1:23" x14ac:dyDescent="0.2">
      <c r="A179" s="6" t="s">
        <v>396</v>
      </c>
      <c r="B179" s="19">
        <v>4.006028875138826E-3</v>
      </c>
      <c r="C179" s="16">
        <v>1.0041273094928119E-3</v>
      </c>
      <c r="D179" s="19">
        <v>1.8333629419079768E-3</v>
      </c>
      <c r="E179" s="16">
        <v>2.1057636789729305E-3</v>
      </c>
      <c r="F179" s="19">
        <v>8.605628752565285E-3</v>
      </c>
      <c r="G179" s="16">
        <v>3.8054895478183024E-3</v>
      </c>
      <c r="H179" s="22">
        <v>4.372597518714068E-3</v>
      </c>
      <c r="I179" s="25">
        <v>3.5609416855553267E-3</v>
      </c>
      <c r="J179" s="22">
        <v>2.4263431542461008E-3</v>
      </c>
      <c r="K179" s="25">
        <v>2.0174803614037909E-3</v>
      </c>
      <c r="L179" s="22">
        <v>1.6292452598185095E-3</v>
      </c>
      <c r="M179" s="25">
        <v>1.0309278350515462E-3</v>
      </c>
      <c r="N179" s="19">
        <v>4.7512894222551576E-3</v>
      </c>
      <c r="O179" s="19">
        <v>7.1093416749608996E-3</v>
      </c>
      <c r="P179" s="16">
        <v>3.1039433013023612E-3</v>
      </c>
      <c r="Q179" s="19">
        <v>2.7089060289839603E-3</v>
      </c>
      <c r="R179" s="16">
        <v>1.8994844256558928E-3</v>
      </c>
      <c r="S179" s="25">
        <v>1.4684382386469762E-3</v>
      </c>
      <c r="T179" s="22">
        <v>1.1878285483218761E-3</v>
      </c>
      <c r="U179" s="25">
        <v>2.6419658772599956E-3</v>
      </c>
      <c r="V179" s="22">
        <v>2.6529544838711713E-3</v>
      </c>
      <c r="W179" s="25">
        <v>1.6979188131052956E-3</v>
      </c>
    </row>
    <row r="180" spans="1:23" x14ac:dyDescent="0.2">
      <c r="A180" s="6" t="s">
        <v>395</v>
      </c>
      <c r="B180" s="19">
        <v>0</v>
      </c>
      <c r="C180" s="16">
        <v>0</v>
      </c>
      <c r="D180" s="19">
        <v>0</v>
      </c>
      <c r="E180" s="16">
        <v>0</v>
      </c>
      <c r="F180" s="19">
        <v>0</v>
      </c>
      <c r="G180" s="16">
        <v>0</v>
      </c>
      <c r="H180" s="22">
        <v>6.5262649533045743E-5</v>
      </c>
      <c r="I180" s="25">
        <v>3.2196579435400785E-5</v>
      </c>
      <c r="J180" s="22">
        <v>0</v>
      </c>
      <c r="K180" s="25">
        <v>0</v>
      </c>
      <c r="L180" s="22">
        <v>0</v>
      </c>
      <c r="M180" s="25">
        <v>0</v>
      </c>
      <c r="N180" s="19">
        <v>0</v>
      </c>
      <c r="O180" s="19">
        <v>0</v>
      </c>
      <c r="P180" s="16">
        <v>0</v>
      </c>
      <c r="Q180" s="19">
        <v>0</v>
      </c>
      <c r="R180" s="16">
        <v>0</v>
      </c>
      <c r="S180" s="25">
        <v>1.2881037181113824E-5</v>
      </c>
      <c r="T180" s="22">
        <v>3.7909421754953497E-5</v>
      </c>
      <c r="U180" s="25">
        <v>0</v>
      </c>
      <c r="V180" s="22">
        <v>0</v>
      </c>
      <c r="W180" s="25">
        <v>0</v>
      </c>
    </row>
    <row r="181" spans="1:23" x14ac:dyDescent="0.2">
      <c r="A181" s="6" t="s">
        <v>394</v>
      </c>
      <c r="B181" s="19">
        <v>3.9663652229097259E-5</v>
      </c>
      <c r="C181" s="16">
        <v>0</v>
      </c>
      <c r="D181" s="19">
        <v>4.9742405400604016E-5</v>
      </c>
      <c r="E181" s="16">
        <v>2.7171144244812009E-5</v>
      </c>
      <c r="F181" s="19">
        <v>0</v>
      </c>
      <c r="G181" s="16">
        <v>4.3048524296587115E-5</v>
      </c>
      <c r="H181" s="22">
        <v>2.6105059813218297E-5</v>
      </c>
      <c r="I181" s="25">
        <v>3.8635895322480941E-5</v>
      </c>
      <c r="J181" s="22">
        <v>0</v>
      </c>
      <c r="K181" s="25">
        <v>4.6918147939623043E-5</v>
      </c>
      <c r="L181" s="22">
        <v>2.33627622162654E-4</v>
      </c>
      <c r="M181" s="25">
        <v>3.059527768540073E-4</v>
      </c>
      <c r="N181" s="19">
        <v>8.9646970231229412E-5</v>
      </c>
      <c r="O181" s="19">
        <v>0</v>
      </c>
      <c r="P181" s="16">
        <v>7.7598582532559067E-5</v>
      </c>
      <c r="Q181" s="19">
        <v>2.1350983479676532E-4</v>
      </c>
      <c r="R181" s="16">
        <v>9.2831945614761712E-5</v>
      </c>
      <c r="S181" s="25">
        <v>9.6607778858353671E-5</v>
      </c>
      <c r="T181" s="22">
        <v>4.485948241002831E-4</v>
      </c>
      <c r="U181" s="25">
        <v>2.8011204481792715E-4</v>
      </c>
      <c r="V181" s="22">
        <v>0</v>
      </c>
      <c r="W181" s="25">
        <v>0</v>
      </c>
    </row>
    <row r="182" spans="1:23" x14ac:dyDescent="0.2">
      <c r="A182" s="6" t="s">
        <v>393</v>
      </c>
      <c r="B182" s="19">
        <v>0</v>
      </c>
      <c r="C182" s="16">
        <v>0</v>
      </c>
      <c r="D182" s="19">
        <v>4.2636347486232012E-5</v>
      </c>
      <c r="E182" s="16">
        <v>0</v>
      </c>
      <c r="F182" s="19">
        <v>0</v>
      </c>
      <c r="G182" s="16">
        <v>0</v>
      </c>
      <c r="H182" s="22">
        <v>0</v>
      </c>
      <c r="I182" s="25">
        <v>0</v>
      </c>
      <c r="J182" s="22">
        <v>0</v>
      </c>
      <c r="K182" s="25">
        <v>0</v>
      </c>
      <c r="L182" s="22">
        <v>0</v>
      </c>
      <c r="M182" s="25">
        <v>0</v>
      </c>
      <c r="N182" s="19">
        <v>0</v>
      </c>
      <c r="O182" s="19">
        <v>0</v>
      </c>
      <c r="P182" s="16">
        <v>0</v>
      </c>
      <c r="Q182" s="19">
        <v>0</v>
      </c>
      <c r="R182" s="16">
        <v>0</v>
      </c>
      <c r="S182" s="25">
        <v>0</v>
      </c>
      <c r="T182" s="22">
        <v>1.5795592397897291E-4</v>
      </c>
      <c r="U182" s="25">
        <v>0</v>
      </c>
      <c r="V182" s="22">
        <v>0</v>
      </c>
      <c r="W182" s="25">
        <v>0</v>
      </c>
    </row>
    <row r="183" spans="1:23" x14ac:dyDescent="0.2">
      <c r="A183" s="6" t="s">
        <v>392</v>
      </c>
      <c r="B183" s="19">
        <v>0</v>
      </c>
      <c r="C183" s="16">
        <v>0</v>
      </c>
      <c r="D183" s="19">
        <v>1.4212115828744005E-5</v>
      </c>
      <c r="E183" s="16">
        <v>0</v>
      </c>
      <c r="F183" s="19">
        <v>0</v>
      </c>
      <c r="G183" s="16">
        <v>0</v>
      </c>
      <c r="H183" s="22">
        <v>0</v>
      </c>
      <c r="I183" s="25">
        <v>0</v>
      </c>
      <c r="J183" s="22">
        <v>0</v>
      </c>
      <c r="K183" s="25">
        <v>0</v>
      </c>
      <c r="L183" s="22">
        <v>0</v>
      </c>
      <c r="M183" s="25">
        <v>0</v>
      </c>
      <c r="N183" s="19">
        <v>0</v>
      </c>
      <c r="O183" s="19">
        <v>0</v>
      </c>
      <c r="P183" s="16">
        <v>0</v>
      </c>
      <c r="Q183" s="19">
        <v>0</v>
      </c>
      <c r="R183" s="16">
        <v>0</v>
      </c>
      <c r="S183" s="25">
        <v>0</v>
      </c>
      <c r="T183" s="22">
        <v>0</v>
      </c>
      <c r="U183" s="25">
        <v>0</v>
      </c>
      <c r="V183" s="22">
        <v>0</v>
      </c>
      <c r="W183" s="25">
        <v>0</v>
      </c>
    </row>
    <row r="184" spans="1:23" x14ac:dyDescent="0.2">
      <c r="A184" s="6" t="s">
        <v>391</v>
      </c>
      <c r="B184" s="19">
        <v>1.3221217409699086E-5</v>
      </c>
      <c r="C184" s="16">
        <v>2.7700063710146532E-5</v>
      </c>
      <c r="D184" s="19">
        <v>3.5530289571860007E-5</v>
      </c>
      <c r="E184" s="16">
        <v>0</v>
      </c>
      <c r="F184" s="19">
        <v>2.2124400161736995E-4</v>
      </c>
      <c r="G184" s="16">
        <v>8.6097048593174229E-5</v>
      </c>
      <c r="H184" s="22">
        <v>0</v>
      </c>
      <c r="I184" s="25">
        <v>1.931794766124047E-5</v>
      </c>
      <c r="J184" s="22">
        <v>0</v>
      </c>
      <c r="K184" s="25">
        <v>4.0215555376819756E-5</v>
      </c>
      <c r="L184" s="22">
        <v>0</v>
      </c>
      <c r="M184" s="25">
        <v>0</v>
      </c>
      <c r="N184" s="19">
        <v>6.5741111502901563E-5</v>
      </c>
      <c r="O184" s="19">
        <v>0</v>
      </c>
      <c r="P184" s="16">
        <v>5.1732388355039383E-5</v>
      </c>
      <c r="Q184" s="19">
        <v>2.6688729349595664E-5</v>
      </c>
      <c r="R184" s="16">
        <v>3.5704594467216042E-5</v>
      </c>
      <c r="S184" s="25">
        <v>1.2881037181113824E-5</v>
      </c>
      <c r="T184" s="22">
        <v>6.3182369591589164E-5</v>
      </c>
      <c r="U184" s="25">
        <v>0</v>
      </c>
      <c r="V184" s="22">
        <v>0</v>
      </c>
      <c r="W184" s="25">
        <v>1.6484648670925202E-5</v>
      </c>
    </row>
    <row r="185" spans="1:23" x14ac:dyDescent="0.2">
      <c r="A185" s="6" t="s">
        <v>390</v>
      </c>
      <c r="B185" s="19">
        <v>0</v>
      </c>
      <c r="C185" s="16">
        <v>0</v>
      </c>
      <c r="D185" s="19">
        <v>0</v>
      </c>
      <c r="E185" s="16">
        <v>1.3585572122406004E-5</v>
      </c>
      <c r="F185" s="19">
        <v>0</v>
      </c>
      <c r="G185" s="16">
        <v>0</v>
      </c>
      <c r="H185" s="22">
        <v>6.5262649533045743E-5</v>
      </c>
      <c r="I185" s="25">
        <v>1.2878631774160313E-5</v>
      </c>
      <c r="J185" s="22">
        <v>0</v>
      </c>
      <c r="K185" s="25">
        <v>0</v>
      </c>
      <c r="L185" s="22">
        <v>0</v>
      </c>
      <c r="M185" s="25">
        <v>1.3302294645826405E-5</v>
      </c>
      <c r="N185" s="19">
        <v>1.0159989959539334E-4</v>
      </c>
      <c r="O185" s="19">
        <v>0</v>
      </c>
      <c r="P185" s="16">
        <v>0</v>
      </c>
      <c r="Q185" s="19">
        <v>0</v>
      </c>
      <c r="R185" s="16">
        <v>1.4281837786886417E-5</v>
      </c>
      <c r="S185" s="25">
        <v>6.4405185905569114E-5</v>
      </c>
      <c r="T185" s="22">
        <v>5.0545895673271327E-5</v>
      </c>
      <c r="U185" s="25">
        <v>2.5464731347084288E-5</v>
      </c>
      <c r="V185" s="22">
        <v>6.3015545935182212E-5</v>
      </c>
      <c r="W185" s="25">
        <v>2.4726973006387802E-5</v>
      </c>
    </row>
    <row r="186" spans="1:23" x14ac:dyDescent="0.2">
      <c r="A186" s="6" t="s">
        <v>389</v>
      </c>
      <c r="B186" s="19">
        <v>0</v>
      </c>
      <c r="C186" s="16">
        <v>1.3850031855073266E-5</v>
      </c>
      <c r="D186" s="19">
        <v>0</v>
      </c>
      <c r="E186" s="16">
        <v>0</v>
      </c>
      <c r="F186" s="19">
        <v>0</v>
      </c>
      <c r="G186" s="16">
        <v>0</v>
      </c>
      <c r="H186" s="22">
        <v>0</v>
      </c>
      <c r="I186" s="25">
        <v>0</v>
      </c>
      <c r="J186" s="22">
        <v>0</v>
      </c>
      <c r="K186" s="25">
        <v>0</v>
      </c>
      <c r="L186" s="22">
        <v>0</v>
      </c>
      <c r="M186" s="25">
        <v>0</v>
      </c>
      <c r="N186" s="19">
        <v>0</v>
      </c>
      <c r="O186" s="19">
        <v>0</v>
      </c>
      <c r="P186" s="16">
        <v>0</v>
      </c>
      <c r="Q186" s="19">
        <v>0</v>
      </c>
      <c r="R186" s="16">
        <v>0</v>
      </c>
      <c r="S186" s="25">
        <v>0</v>
      </c>
      <c r="T186" s="22">
        <v>0</v>
      </c>
      <c r="U186" s="25">
        <v>0</v>
      </c>
      <c r="V186" s="22">
        <v>0</v>
      </c>
      <c r="W186" s="25">
        <v>0</v>
      </c>
    </row>
    <row r="187" spans="1:23" x14ac:dyDescent="0.2">
      <c r="A187" s="6" t="s">
        <v>388</v>
      </c>
      <c r="B187" s="19">
        <v>5.2884869638796342E-5</v>
      </c>
      <c r="C187" s="16">
        <v>0</v>
      </c>
      <c r="D187" s="19">
        <v>0</v>
      </c>
      <c r="E187" s="16">
        <v>0</v>
      </c>
      <c r="F187" s="19">
        <v>4.4248800323473989E-4</v>
      </c>
      <c r="G187" s="16">
        <v>9.4706753452491652E-5</v>
      </c>
      <c r="H187" s="22">
        <v>4.6336481168462475E-4</v>
      </c>
      <c r="I187" s="25">
        <v>1.0946837008036267E-4</v>
      </c>
      <c r="J187" s="22">
        <v>0</v>
      </c>
      <c r="K187" s="25">
        <v>0</v>
      </c>
      <c r="L187" s="22">
        <v>1.3525809704153654E-3</v>
      </c>
      <c r="M187" s="25">
        <v>6.3851014299966735E-4</v>
      </c>
      <c r="N187" s="19">
        <v>0</v>
      </c>
      <c r="O187" s="19">
        <v>7.8992685277343313E-5</v>
      </c>
      <c r="P187" s="16">
        <v>0</v>
      </c>
      <c r="Q187" s="19">
        <v>0</v>
      </c>
      <c r="R187" s="16">
        <v>0</v>
      </c>
      <c r="S187" s="25">
        <v>0</v>
      </c>
      <c r="T187" s="22">
        <v>1.6427416093813181E-3</v>
      </c>
      <c r="U187" s="25">
        <v>4.1380188439011967E-4</v>
      </c>
      <c r="V187" s="22">
        <v>0</v>
      </c>
      <c r="W187" s="25">
        <v>0</v>
      </c>
    </row>
    <row r="188" spans="1:23" x14ac:dyDescent="0.2">
      <c r="A188" s="6" t="s">
        <v>387</v>
      </c>
      <c r="B188" s="19">
        <v>1.2560156539214131E-4</v>
      </c>
      <c r="C188" s="16">
        <v>8.3100191130439601E-5</v>
      </c>
      <c r="D188" s="19">
        <v>2.2028779534553206E-4</v>
      </c>
      <c r="E188" s="16">
        <v>1.3585572122406004E-4</v>
      </c>
      <c r="F188" s="19">
        <v>6.8661931536425158E-5</v>
      </c>
      <c r="G188" s="16">
        <v>6.8877638874539383E-5</v>
      </c>
      <c r="H188" s="22">
        <v>1.1094650420617776E-4</v>
      </c>
      <c r="I188" s="25">
        <v>0</v>
      </c>
      <c r="J188" s="22">
        <v>0</v>
      </c>
      <c r="K188" s="25">
        <v>0</v>
      </c>
      <c r="L188" s="22">
        <v>1.7829476428202543E-4</v>
      </c>
      <c r="M188" s="25">
        <v>1.5962753574991686E-4</v>
      </c>
      <c r="N188" s="19">
        <v>5.9764646820819608E-5</v>
      </c>
      <c r="O188" s="19">
        <v>1.8958244466562397E-4</v>
      </c>
      <c r="P188" s="16">
        <v>7.7598582532559067E-5</v>
      </c>
      <c r="Q188" s="19">
        <v>3.736422108943393E-4</v>
      </c>
      <c r="R188" s="16">
        <v>2.3565032348362588E-4</v>
      </c>
      <c r="S188" s="25">
        <v>0</v>
      </c>
      <c r="T188" s="22">
        <v>3.538212697128993E-4</v>
      </c>
      <c r="U188" s="25">
        <v>8.2760376878023934E-5</v>
      </c>
      <c r="V188" s="22">
        <v>2.5206218374072882E-5</v>
      </c>
      <c r="W188" s="25">
        <v>0</v>
      </c>
    </row>
    <row r="189" spans="1:23" x14ac:dyDescent="0.2">
      <c r="A189" s="6" t="s">
        <v>386</v>
      </c>
      <c r="B189" s="19">
        <v>3.5168438309799567E-3</v>
      </c>
      <c r="C189" s="16">
        <v>1.0179773413478851E-3</v>
      </c>
      <c r="D189" s="19">
        <v>4.2636347486232013E-3</v>
      </c>
      <c r="E189" s="16">
        <v>3.0907176578473666E-3</v>
      </c>
      <c r="F189" s="19">
        <v>2.8456556070096204E-3</v>
      </c>
      <c r="G189" s="16">
        <v>2.8928608327306541E-3</v>
      </c>
      <c r="H189" s="22">
        <v>9.3064538234123202E-3</v>
      </c>
      <c r="I189" s="25">
        <v>1.5003606016896767E-3</v>
      </c>
      <c r="J189" s="22">
        <v>6.5991201173176922E-4</v>
      </c>
      <c r="K189" s="25">
        <v>3.0161666532614812E-4</v>
      </c>
      <c r="L189" s="22">
        <v>1.8874652632614418E-3</v>
      </c>
      <c r="M189" s="25">
        <v>1.8224143664782174E-3</v>
      </c>
      <c r="N189" s="19">
        <v>4.1118077012723894E-3</v>
      </c>
      <c r="O189" s="19">
        <v>8.7681880657851062E-3</v>
      </c>
      <c r="P189" s="16">
        <v>1.8235666895151383E-3</v>
      </c>
      <c r="Q189" s="19">
        <v>2.5888067469107792E-3</v>
      </c>
      <c r="R189" s="16">
        <v>1.9780345334837685E-3</v>
      </c>
      <c r="S189" s="25">
        <v>2.5762074362227646E-4</v>
      </c>
      <c r="T189" s="22">
        <v>4.2332187626364735E-3</v>
      </c>
      <c r="U189" s="25">
        <v>1.7634326457855868E-3</v>
      </c>
      <c r="V189" s="22">
        <v>2.1110207888286039E-3</v>
      </c>
      <c r="W189" s="25">
        <v>4.7805481145683082E-4</v>
      </c>
    </row>
    <row r="190" spans="1:23" x14ac:dyDescent="0.2">
      <c r="A190" s="6" t="s">
        <v>385</v>
      </c>
      <c r="B190" s="19">
        <v>2.1153947855518537E-4</v>
      </c>
      <c r="C190" s="16">
        <v>1.8697543004348911E-4</v>
      </c>
      <c r="D190" s="19">
        <v>1.5349085095043527E-3</v>
      </c>
      <c r="E190" s="16">
        <v>8.8985497401759329E-4</v>
      </c>
      <c r="F190" s="19">
        <v>3.4330965768212575E-4</v>
      </c>
      <c r="G190" s="16">
        <v>7.7487343733856806E-4</v>
      </c>
      <c r="H190" s="22">
        <v>6.1999517056393464E-4</v>
      </c>
      <c r="I190" s="25">
        <v>6.439315887080157E-5</v>
      </c>
      <c r="J190" s="22">
        <v>3.599520063991467E-4</v>
      </c>
      <c r="K190" s="25">
        <v>8.5122925547601817E-4</v>
      </c>
      <c r="L190" s="22">
        <v>5.5332857880628587E-5</v>
      </c>
      <c r="M190" s="25">
        <v>7.9813767874958432E-5</v>
      </c>
      <c r="N190" s="19">
        <v>4.7811717456655686E-4</v>
      </c>
      <c r="O190" s="19">
        <v>9.558114918558541E-4</v>
      </c>
      <c r="P190" s="16">
        <v>1.5778378448287015E-3</v>
      </c>
      <c r="Q190" s="19">
        <v>1.2543702794309962E-3</v>
      </c>
      <c r="R190" s="16">
        <v>1.3639155086476525E-3</v>
      </c>
      <c r="S190" s="25">
        <v>1.0884476418041181E-3</v>
      </c>
      <c r="T190" s="22">
        <v>3.1591184795794582E-5</v>
      </c>
      <c r="U190" s="25">
        <v>6.6844919786096264E-4</v>
      </c>
      <c r="V190" s="22">
        <v>4.6001348532683016E-4</v>
      </c>
      <c r="W190" s="25">
        <v>3.0414176797857002E-3</v>
      </c>
    </row>
    <row r="191" spans="1:23" x14ac:dyDescent="0.2">
      <c r="A191" s="6" t="s">
        <v>384</v>
      </c>
      <c r="B191" s="19">
        <v>0</v>
      </c>
      <c r="C191" s="16">
        <v>0</v>
      </c>
      <c r="D191" s="19">
        <v>0</v>
      </c>
      <c r="E191" s="16">
        <v>0</v>
      </c>
      <c r="F191" s="19">
        <v>0</v>
      </c>
      <c r="G191" s="16">
        <v>0</v>
      </c>
      <c r="H191" s="22">
        <v>0</v>
      </c>
      <c r="I191" s="25">
        <v>0</v>
      </c>
      <c r="J191" s="22">
        <v>0</v>
      </c>
      <c r="K191" s="25">
        <v>1.2734925869326255E-4</v>
      </c>
      <c r="L191" s="22">
        <v>3.0740476600349214E-5</v>
      </c>
      <c r="M191" s="25">
        <v>0</v>
      </c>
      <c r="N191" s="19">
        <v>0</v>
      </c>
      <c r="O191" s="19">
        <v>0</v>
      </c>
      <c r="P191" s="16">
        <v>0</v>
      </c>
      <c r="Q191" s="19">
        <v>4.0033094024393497E-5</v>
      </c>
      <c r="R191" s="16">
        <v>0</v>
      </c>
      <c r="S191" s="25">
        <v>0</v>
      </c>
      <c r="T191" s="22">
        <v>3.1591184795794582E-5</v>
      </c>
      <c r="U191" s="25">
        <v>1.5915457091927681E-4</v>
      </c>
      <c r="V191" s="22">
        <v>0</v>
      </c>
      <c r="W191" s="25">
        <v>0</v>
      </c>
    </row>
    <row r="192" spans="1:23" x14ac:dyDescent="0.2">
      <c r="A192" s="6" t="s">
        <v>383</v>
      </c>
      <c r="B192" s="19">
        <v>1.3221217409699086E-5</v>
      </c>
      <c r="C192" s="16">
        <v>0</v>
      </c>
      <c r="D192" s="19">
        <v>0</v>
      </c>
      <c r="E192" s="16">
        <v>0</v>
      </c>
      <c r="F192" s="19">
        <v>0</v>
      </c>
      <c r="G192" s="16">
        <v>0</v>
      </c>
      <c r="H192" s="22">
        <v>7.1788914486350318E-5</v>
      </c>
      <c r="I192" s="25">
        <v>5.1514527096641252E-5</v>
      </c>
      <c r="J192" s="22">
        <v>0</v>
      </c>
      <c r="K192" s="25">
        <v>0</v>
      </c>
      <c r="L192" s="22">
        <v>0</v>
      </c>
      <c r="M192" s="25">
        <v>0</v>
      </c>
      <c r="N192" s="19">
        <v>0</v>
      </c>
      <c r="O192" s="19">
        <v>0</v>
      </c>
      <c r="P192" s="16">
        <v>0</v>
      </c>
      <c r="Q192" s="19">
        <v>0</v>
      </c>
      <c r="R192" s="16">
        <v>0</v>
      </c>
      <c r="S192" s="25">
        <v>0</v>
      </c>
      <c r="T192" s="22">
        <v>0</v>
      </c>
      <c r="U192" s="25">
        <v>0</v>
      </c>
      <c r="V192" s="22">
        <v>0</v>
      </c>
      <c r="W192" s="25">
        <v>0</v>
      </c>
    </row>
    <row r="193" spans="1:23" x14ac:dyDescent="0.2">
      <c r="A193" s="6" t="s">
        <v>382</v>
      </c>
      <c r="B193" s="19">
        <v>7.6683060976254699E-3</v>
      </c>
      <c r="C193" s="16">
        <v>4.051134317608931E-3</v>
      </c>
      <c r="D193" s="19">
        <v>2.9703322082074973E-3</v>
      </c>
      <c r="E193" s="16">
        <v>4.068878850660599E-3</v>
      </c>
      <c r="F193" s="19">
        <v>4.0815703746652733E-3</v>
      </c>
      <c r="G193" s="16">
        <v>4.3651203636739331E-3</v>
      </c>
      <c r="H193" s="22">
        <v>7.6096249355531347E-3</v>
      </c>
      <c r="I193" s="25">
        <v>4.0116937976509368E-3</v>
      </c>
      <c r="J193" s="22">
        <v>2.0930542594320757E-3</v>
      </c>
      <c r="K193" s="25">
        <v>1.8029973993940855E-3</v>
      </c>
      <c r="L193" s="22">
        <v>8.5335563042569403E-3</v>
      </c>
      <c r="M193" s="25">
        <v>6.54472896574659E-3</v>
      </c>
      <c r="N193" s="19">
        <v>2.0917626387286863E-3</v>
      </c>
      <c r="O193" s="19">
        <v>3.3492898557593567E-3</v>
      </c>
      <c r="P193" s="16">
        <v>3.1815418838349223E-3</v>
      </c>
      <c r="Q193" s="19">
        <v>2.9224158637807256E-3</v>
      </c>
      <c r="R193" s="16">
        <v>4.9629386309430297E-3</v>
      </c>
      <c r="S193" s="25">
        <v>2.170454765017679E-3</v>
      </c>
      <c r="T193" s="22">
        <v>6.8552871006874235E-3</v>
      </c>
      <c r="U193" s="25">
        <v>4.5518207282913168E-3</v>
      </c>
      <c r="V193" s="22">
        <v>2.1614332255767499E-3</v>
      </c>
      <c r="W193" s="25">
        <v>1.5248300020605811E-3</v>
      </c>
    </row>
    <row r="194" spans="1:23" x14ac:dyDescent="0.2">
      <c r="A194" s="6" t="s">
        <v>381</v>
      </c>
      <c r="B194" s="19">
        <v>7.9327304458194506E-4</v>
      </c>
      <c r="C194" s="16">
        <v>3.7395086008697821E-4</v>
      </c>
      <c r="D194" s="19">
        <v>4.8321193817729615E-4</v>
      </c>
      <c r="E194" s="16">
        <v>6.4531467581428531E-4</v>
      </c>
      <c r="F194" s="19">
        <v>2.2887310512141718E-4</v>
      </c>
      <c r="G194" s="16">
        <v>3.6160760409133176E-4</v>
      </c>
      <c r="H194" s="22">
        <v>7.9620432430315812E-4</v>
      </c>
      <c r="I194" s="25">
        <v>1.1140016484648672E-3</v>
      </c>
      <c r="J194" s="22">
        <v>2.7996267164378082E-4</v>
      </c>
      <c r="K194" s="25">
        <v>5.6301777527547649E-4</v>
      </c>
      <c r="L194" s="22">
        <v>9.6525096525096527E-4</v>
      </c>
      <c r="M194" s="25">
        <v>8.1809112071832397E-4</v>
      </c>
      <c r="N194" s="19">
        <v>5.3788182138737653E-5</v>
      </c>
      <c r="O194" s="19">
        <v>8.2152392688437047E-4</v>
      </c>
      <c r="P194" s="16">
        <v>1.0993132525445869E-4</v>
      </c>
      <c r="Q194" s="19">
        <v>5.0708585764231763E-4</v>
      </c>
      <c r="R194" s="16">
        <v>2.9277767463117154E-4</v>
      </c>
      <c r="S194" s="25">
        <v>6.0540874751234975E-4</v>
      </c>
      <c r="T194" s="22">
        <v>5.8759603720177922E-4</v>
      </c>
      <c r="U194" s="25">
        <v>8.0850522026992616E-4</v>
      </c>
      <c r="V194" s="22">
        <v>3.7179172101757508E-4</v>
      </c>
      <c r="W194" s="25">
        <v>2.2254275705749021E-4</v>
      </c>
    </row>
    <row r="195" spans="1:23" x14ac:dyDescent="0.2">
      <c r="A195" s="6" t="s">
        <v>380</v>
      </c>
      <c r="B195" s="19">
        <v>0</v>
      </c>
      <c r="C195" s="16">
        <v>0</v>
      </c>
      <c r="D195" s="19">
        <v>0</v>
      </c>
      <c r="E195" s="16">
        <v>0</v>
      </c>
      <c r="F195" s="19">
        <v>0</v>
      </c>
      <c r="G195" s="16">
        <v>0</v>
      </c>
      <c r="H195" s="22">
        <v>0</v>
      </c>
      <c r="I195" s="25">
        <v>0</v>
      </c>
      <c r="J195" s="22">
        <v>0</v>
      </c>
      <c r="K195" s="25">
        <v>0</v>
      </c>
      <c r="L195" s="22">
        <v>0</v>
      </c>
      <c r="M195" s="25">
        <v>0</v>
      </c>
      <c r="N195" s="19">
        <v>0</v>
      </c>
      <c r="O195" s="19">
        <v>0</v>
      </c>
      <c r="P195" s="16">
        <v>0</v>
      </c>
      <c r="Q195" s="19">
        <v>0</v>
      </c>
      <c r="R195" s="16">
        <v>0</v>
      </c>
      <c r="S195" s="25">
        <v>0</v>
      </c>
      <c r="T195" s="22">
        <v>0</v>
      </c>
      <c r="U195" s="25">
        <v>1.2732365673542144E-5</v>
      </c>
      <c r="V195" s="22">
        <v>0</v>
      </c>
      <c r="W195" s="25">
        <v>0</v>
      </c>
    </row>
    <row r="196" spans="1:23" x14ac:dyDescent="0.2">
      <c r="A196" s="6" t="s">
        <v>379</v>
      </c>
      <c r="B196" s="19">
        <v>0</v>
      </c>
      <c r="C196" s="16">
        <v>0</v>
      </c>
      <c r="D196" s="19">
        <v>0</v>
      </c>
      <c r="E196" s="16">
        <v>4.754950242842102E-5</v>
      </c>
      <c r="F196" s="19">
        <v>0</v>
      </c>
      <c r="G196" s="16">
        <v>0</v>
      </c>
      <c r="H196" s="22">
        <v>0</v>
      </c>
      <c r="I196" s="25">
        <v>0</v>
      </c>
      <c r="J196" s="22">
        <v>0</v>
      </c>
      <c r="K196" s="25">
        <v>0</v>
      </c>
      <c r="L196" s="22">
        <v>0</v>
      </c>
      <c r="M196" s="25">
        <v>0</v>
      </c>
      <c r="N196" s="19">
        <v>0</v>
      </c>
      <c r="O196" s="19">
        <v>3.3966854669257625E-4</v>
      </c>
      <c r="P196" s="16">
        <v>0</v>
      </c>
      <c r="Q196" s="19">
        <v>0</v>
      </c>
      <c r="R196" s="16">
        <v>0</v>
      </c>
      <c r="S196" s="25">
        <v>0</v>
      </c>
      <c r="T196" s="22">
        <v>0</v>
      </c>
      <c r="U196" s="25">
        <v>0</v>
      </c>
      <c r="V196" s="22">
        <v>0</v>
      </c>
      <c r="W196" s="25">
        <v>0</v>
      </c>
    </row>
    <row r="197" spans="1:23" x14ac:dyDescent="0.2">
      <c r="A197" s="6" t="s">
        <v>378</v>
      </c>
      <c r="B197" s="19">
        <v>0</v>
      </c>
      <c r="C197" s="16">
        <v>0</v>
      </c>
      <c r="D197" s="19">
        <v>0</v>
      </c>
      <c r="E197" s="16">
        <v>0</v>
      </c>
      <c r="F197" s="19">
        <v>0</v>
      </c>
      <c r="G197" s="16">
        <v>0</v>
      </c>
      <c r="H197" s="22">
        <v>0</v>
      </c>
      <c r="I197" s="25">
        <v>1.2878631774160311E-4</v>
      </c>
      <c r="J197" s="22">
        <v>1.3331555792560992E-5</v>
      </c>
      <c r="K197" s="25">
        <v>0</v>
      </c>
      <c r="L197" s="22">
        <v>0</v>
      </c>
      <c r="M197" s="25">
        <v>3.3255736614566014E-5</v>
      </c>
      <c r="N197" s="19">
        <v>0</v>
      </c>
      <c r="O197" s="19">
        <v>0</v>
      </c>
      <c r="P197" s="16">
        <v>1.8752990778701776E-4</v>
      </c>
      <c r="Q197" s="19">
        <v>2.6688729349595664E-5</v>
      </c>
      <c r="R197" s="16">
        <v>0</v>
      </c>
      <c r="S197" s="25">
        <v>4.5083630133898377E-5</v>
      </c>
      <c r="T197" s="22">
        <v>0</v>
      </c>
      <c r="U197" s="25">
        <v>4.4563279857397503E-5</v>
      </c>
      <c r="V197" s="22">
        <v>1.8904663780554662E-5</v>
      </c>
      <c r="W197" s="25">
        <v>1.3187718936740161E-4</v>
      </c>
    </row>
    <row r="198" spans="1:23" x14ac:dyDescent="0.2">
      <c r="A198" s="6" t="s">
        <v>377</v>
      </c>
      <c r="B198" s="19">
        <v>0</v>
      </c>
      <c r="C198" s="16">
        <v>0</v>
      </c>
      <c r="D198" s="19">
        <v>0</v>
      </c>
      <c r="E198" s="16">
        <v>0</v>
      </c>
      <c r="F198" s="19">
        <v>0</v>
      </c>
      <c r="G198" s="16">
        <v>0</v>
      </c>
      <c r="H198" s="22">
        <v>0</v>
      </c>
      <c r="I198" s="25">
        <v>0</v>
      </c>
      <c r="J198" s="22">
        <v>0</v>
      </c>
      <c r="K198" s="25">
        <v>0</v>
      </c>
      <c r="L198" s="22">
        <v>0</v>
      </c>
      <c r="M198" s="25">
        <v>0</v>
      </c>
      <c r="N198" s="19">
        <v>0</v>
      </c>
      <c r="O198" s="19">
        <v>0</v>
      </c>
      <c r="P198" s="16">
        <v>0</v>
      </c>
      <c r="Q198" s="19">
        <v>2.6688729349595664E-5</v>
      </c>
      <c r="R198" s="16">
        <v>0</v>
      </c>
      <c r="S198" s="25">
        <v>0</v>
      </c>
      <c r="T198" s="22">
        <v>0</v>
      </c>
      <c r="U198" s="25">
        <v>0</v>
      </c>
      <c r="V198" s="22">
        <v>0</v>
      </c>
      <c r="W198" s="25">
        <v>0</v>
      </c>
    </row>
    <row r="199" spans="1:23" x14ac:dyDescent="0.2">
      <c r="A199" s="6" t="s">
        <v>376</v>
      </c>
      <c r="B199" s="19">
        <v>6.6106087048495426E-5</v>
      </c>
      <c r="C199" s="16">
        <v>0</v>
      </c>
      <c r="D199" s="19">
        <v>2.5581808491739212E-4</v>
      </c>
      <c r="E199" s="16">
        <v>1.6302686546887206E-4</v>
      </c>
      <c r="F199" s="19">
        <v>5.9507007331568475E-4</v>
      </c>
      <c r="G199" s="16">
        <v>1.3775527774907877E-4</v>
      </c>
      <c r="H199" s="22">
        <v>1.7620915373922351E-4</v>
      </c>
      <c r="I199" s="25">
        <v>1.3522563362868329E-4</v>
      </c>
      <c r="J199" s="22">
        <v>8.6655112651646451E-5</v>
      </c>
      <c r="K199" s="25">
        <v>6.7025925628032924E-5</v>
      </c>
      <c r="L199" s="22">
        <v>0</v>
      </c>
      <c r="M199" s="25">
        <v>3.9906883937479216E-5</v>
      </c>
      <c r="N199" s="19">
        <v>5.0799949797696671E-4</v>
      </c>
      <c r="O199" s="19">
        <v>3.8706415785898224E-4</v>
      </c>
      <c r="P199" s="16">
        <v>9.6998228165698841E-5</v>
      </c>
      <c r="Q199" s="19">
        <v>1.4678801142277615E-4</v>
      </c>
      <c r="R199" s="16">
        <v>1.1425470229509134E-4</v>
      </c>
      <c r="S199" s="25">
        <v>6.4405185905569114E-5</v>
      </c>
      <c r="T199" s="22">
        <v>1.0741002830570158E-4</v>
      </c>
      <c r="U199" s="25">
        <v>2.1008403361344539E-4</v>
      </c>
      <c r="V199" s="22">
        <v>1.1342798268332798E-4</v>
      </c>
      <c r="W199" s="25">
        <v>2.4726973006387802E-5</v>
      </c>
    </row>
    <row r="200" spans="1:23" x14ac:dyDescent="0.2">
      <c r="A200" s="6" t="s">
        <v>375</v>
      </c>
      <c r="B200" s="19">
        <v>7.0733513141890095E-4</v>
      </c>
      <c r="C200" s="16">
        <v>1.5927536633334257E-3</v>
      </c>
      <c r="D200" s="19">
        <v>1.8688932314798372E-3</v>
      </c>
      <c r="E200" s="16">
        <v>1.2023231328329314E-3</v>
      </c>
      <c r="F200" s="19">
        <v>3.0516414016188955E-4</v>
      </c>
      <c r="G200" s="16">
        <v>1.4464304163653275E-3</v>
      </c>
      <c r="H200" s="22">
        <v>2.799767664967662E-3</v>
      </c>
      <c r="I200" s="25">
        <v>3.6832886874098507E-3</v>
      </c>
      <c r="J200" s="22">
        <v>3.952806292494334E-3</v>
      </c>
      <c r="K200" s="25">
        <v>3.9344218343655328E-3</v>
      </c>
      <c r="L200" s="22">
        <v>3.4613776651993213E-3</v>
      </c>
      <c r="M200" s="25">
        <v>2.4409710675091455E-3</v>
      </c>
      <c r="N200" s="19">
        <v>2.1096920327749323E-3</v>
      </c>
      <c r="O200" s="19">
        <v>4.1313174400050565E-3</v>
      </c>
      <c r="P200" s="16">
        <v>1.2739100632428444E-3</v>
      </c>
      <c r="Q200" s="19">
        <v>1.6146681256505378E-3</v>
      </c>
      <c r="R200" s="16">
        <v>1.2139562118853452E-3</v>
      </c>
      <c r="S200" s="25">
        <v>4.6822570153348727E-3</v>
      </c>
      <c r="T200" s="22">
        <v>2.6031136271734744E-3</v>
      </c>
      <c r="U200" s="25">
        <v>7.3402088107970458E-3</v>
      </c>
      <c r="V200" s="22">
        <v>3.7683296469238959E-3</v>
      </c>
      <c r="W200" s="25">
        <v>4.4920667628271177E-3</v>
      </c>
    </row>
    <row r="201" spans="1:23" x14ac:dyDescent="0.2">
      <c r="A201" s="6" t="s">
        <v>374</v>
      </c>
      <c r="B201" s="19">
        <v>1.9831826114548629E-5</v>
      </c>
      <c r="C201" s="16">
        <v>0</v>
      </c>
      <c r="D201" s="19">
        <v>0</v>
      </c>
      <c r="E201" s="16">
        <v>0</v>
      </c>
      <c r="F201" s="19">
        <v>8.392013854451963E-5</v>
      </c>
      <c r="G201" s="16">
        <v>0</v>
      </c>
      <c r="H201" s="22">
        <v>0</v>
      </c>
      <c r="I201" s="25">
        <v>0</v>
      </c>
      <c r="J201" s="22">
        <v>0</v>
      </c>
      <c r="K201" s="25">
        <v>0</v>
      </c>
      <c r="L201" s="22">
        <v>2.459238128027937E-5</v>
      </c>
      <c r="M201" s="25">
        <v>0</v>
      </c>
      <c r="N201" s="19">
        <v>0</v>
      </c>
      <c r="O201" s="19">
        <v>2.3697805583202996E-5</v>
      </c>
      <c r="P201" s="16">
        <v>0</v>
      </c>
      <c r="Q201" s="19">
        <v>6.6721823373989161E-5</v>
      </c>
      <c r="R201" s="16">
        <v>3.5704594467216042E-5</v>
      </c>
      <c r="S201" s="25">
        <v>1.2881037181113824E-5</v>
      </c>
      <c r="T201" s="22">
        <v>0</v>
      </c>
      <c r="U201" s="25">
        <v>0</v>
      </c>
      <c r="V201" s="22">
        <v>1.8904663780554662E-5</v>
      </c>
      <c r="W201" s="25">
        <v>0</v>
      </c>
    </row>
    <row r="202" spans="1:23" x14ac:dyDescent="0.2">
      <c r="A202" s="6" t="s">
        <v>373</v>
      </c>
      <c r="B202" s="19">
        <v>3.569728700618753E-4</v>
      </c>
      <c r="C202" s="16">
        <v>6.2325143347829697E-5</v>
      </c>
      <c r="D202" s="19">
        <v>2.3449991117427605E-4</v>
      </c>
      <c r="E202" s="16">
        <v>1.1547736304045106E-4</v>
      </c>
      <c r="F202" s="19">
        <v>7.7053945390877113E-4</v>
      </c>
      <c r="G202" s="16">
        <v>2.5829114577952269E-4</v>
      </c>
      <c r="H202" s="22">
        <v>1.3052529906609149E-4</v>
      </c>
      <c r="I202" s="25">
        <v>2.5757263548320626E-5</v>
      </c>
      <c r="J202" s="22">
        <v>7.3323556859085457E-5</v>
      </c>
      <c r="K202" s="25">
        <v>0</v>
      </c>
      <c r="L202" s="22">
        <v>0</v>
      </c>
      <c r="M202" s="25">
        <v>1.9953441968739608E-5</v>
      </c>
      <c r="N202" s="19">
        <v>0</v>
      </c>
      <c r="O202" s="19">
        <v>9.3211368627265116E-4</v>
      </c>
      <c r="P202" s="16">
        <v>1.8752990778701776E-4</v>
      </c>
      <c r="Q202" s="19">
        <v>7.2059569243908294E-4</v>
      </c>
      <c r="R202" s="16">
        <v>2.2136848569673945E-4</v>
      </c>
      <c r="S202" s="25">
        <v>1.9321555771670734E-5</v>
      </c>
      <c r="T202" s="22">
        <v>5.0545895673271327E-5</v>
      </c>
      <c r="U202" s="25">
        <v>0</v>
      </c>
      <c r="V202" s="22">
        <v>5.0412436748145764E-5</v>
      </c>
      <c r="W202" s="25">
        <v>0</v>
      </c>
    </row>
    <row r="203" spans="1:23" x14ac:dyDescent="0.2">
      <c r="A203" s="6" t="s">
        <v>372</v>
      </c>
      <c r="B203" s="19">
        <v>1.9170765244063673E-4</v>
      </c>
      <c r="C203" s="16">
        <v>5.5400127420293065E-5</v>
      </c>
      <c r="D203" s="19">
        <v>3.5530289571860007E-5</v>
      </c>
      <c r="E203" s="16">
        <v>1.7661243759127808E-4</v>
      </c>
      <c r="F203" s="19">
        <v>1.3732386307285032E-4</v>
      </c>
      <c r="G203" s="16">
        <v>1.2914557288976134E-4</v>
      </c>
      <c r="H203" s="22">
        <v>4.2420722196479736E-4</v>
      </c>
      <c r="I203" s="25">
        <v>1.1461982279002676E-3</v>
      </c>
      <c r="J203" s="22">
        <v>8.5321957072390347E-4</v>
      </c>
      <c r="K203" s="25">
        <v>1.8164025845196919E-3</v>
      </c>
      <c r="L203" s="22">
        <v>4.3036667240488899E-4</v>
      </c>
      <c r="M203" s="25">
        <v>6.0525440638510152E-4</v>
      </c>
      <c r="N203" s="19">
        <v>6.6936404439317965E-4</v>
      </c>
      <c r="O203" s="19">
        <v>4.1866123196991959E-4</v>
      </c>
      <c r="P203" s="16">
        <v>2.263291990532973E-4</v>
      </c>
      <c r="Q203" s="19">
        <v>1.6013237609757399E-4</v>
      </c>
      <c r="R203" s="16">
        <v>4.9986432254102458E-5</v>
      </c>
      <c r="S203" s="25">
        <v>5.1524148724455291E-4</v>
      </c>
      <c r="T203" s="22">
        <v>9.1614435907804294E-4</v>
      </c>
      <c r="U203" s="25">
        <v>1.3305322128851539E-3</v>
      </c>
      <c r="V203" s="22">
        <v>5.6713991341663999E-4</v>
      </c>
      <c r="W203" s="25">
        <v>7.1708221718524631E-4</v>
      </c>
    </row>
    <row r="204" spans="1:23" x14ac:dyDescent="0.2">
      <c r="A204" s="6" t="s">
        <v>371</v>
      </c>
      <c r="B204" s="19">
        <v>4.6274260933946797E-5</v>
      </c>
      <c r="C204" s="16">
        <v>0</v>
      </c>
      <c r="D204" s="19">
        <v>0</v>
      </c>
      <c r="E204" s="16">
        <v>0</v>
      </c>
      <c r="F204" s="19">
        <v>2.3650220862546443E-4</v>
      </c>
      <c r="G204" s="16">
        <v>0</v>
      </c>
      <c r="H204" s="22">
        <v>6.5262649533045743E-5</v>
      </c>
      <c r="I204" s="25">
        <v>0</v>
      </c>
      <c r="J204" s="22">
        <v>1.9997333688841487E-5</v>
      </c>
      <c r="K204" s="25">
        <v>0</v>
      </c>
      <c r="L204" s="22">
        <v>0</v>
      </c>
      <c r="M204" s="25">
        <v>1.3302294645826405E-5</v>
      </c>
      <c r="N204" s="19">
        <v>1.0159989959539334E-4</v>
      </c>
      <c r="O204" s="19">
        <v>5.5294879694140323E-5</v>
      </c>
      <c r="P204" s="16">
        <v>5.8198936899419307E-5</v>
      </c>
      <c r="Q204" s="19">
        <v>0</v>
      </c>
      <c r="R204" s="16">
        <v>3.5704594467216038E-4</v>
      </c>
      <c r="S204" s="25">
        <v>1.0948881603946749E-4</v>
      </c>
      <c r="T204" s="22">
        <v>0</v>
      </c>
      <c r="U204" s="25">
        <v>1.9098548510313215E-5</v>
      </c>
      <c r="V204" s="22">
        <v>3.7809327561109323E-5</v>
      </c>
      <c r="W204" s="25">
        <v>1.6484648670925202E-5</v>
      </c>
    </row>
    <row r="205" spans="1:23" x14ac:dyDescent="0.2">
      <c r="A205" s="6" t="s">
        <v>370</v>
      </c>
      <c r="B205" s="19">
        <v>6.8089269659950312E-3</v>
      </c>
      <c r="C205" s="16">
        <v>1.6890113847261842E-2</v>
      </c>
      <c r="D205" s="19">
        <v>2.8545034642032334E-2</v>
      </c>
      <c r="E205" s="16">
        <v>3.2102706925245389E-2</v>
      </c>
      <c r="F205" s="19">
        <v>1.4304569070088577E-2</v>
      </c>
      <c r="G205" s="16">
        <v>9.1262871508764713E-3</v>
      </c>
      <c r="H205" s="22">
        <v>2.5178330189849045E-2</v>
      </c>
      <c r="I205" s="25">
        <v>2.9633731712342893E-2</v>
      </c>
      <c r="J205" s="22">
        <v>0.10084655379282767</v>
      </c>
      <c r="K205" s="25">
        <v>5.5490763827448455E-2</v>
      </c>
      <c r="L205" s="22">
        <v>2.5612965103410937E-2</v>
      </c>
      <c r="M205" s="25">
        <v>5.8556701030927839E-2</v>
      </c>
      <c r="N205" s="19">
        <v>1.8778052031101524E-2</v>
      </c>
      <c r="O205" s="19">
        <v>9.5502156500308043E-3</v>
      </c>
      <c r="P205" s="16">
        <v>6.5150476584627692E-2</v>
      </c>
      <c r="Q205" s="19">
        <v>2.0376844858416277E-2</v>
      </c>
      <c r="R205" s="16">
        <v>2.6649909310330046E-2</v>
      </c>
      <c r="S205" s="25">
        <v>8.6695820747486524E-2</v>
      </c>
      <c r="T205" s="22">
        <v>1.3261979377274555E-2</v>
      </c>
      <c r="U205" s="25">
        <v>2.6559714795008908E-2</v>
      </c>
      <c r="V205" s="22">
        <v>0.16803725479075687</v>
      </c>
      <c r="W205" s="25">
        <v>3.3570987018339167E-2</v>
      </c>
    </row>
    <row r="206" spans="1:23" x14ac:dyDescent="0.2">
      <c r="A206" s="6" t="s">
        <v>369</v>
      </c>
      <c r="B206" s="19">
        <v>3.5498968745042075E-2</v>
      </c>
      <c r="C206" s="16">
        <v>4.6639982271959209E-2</v>
      </c>
      <c r="D206" s="19">
        <v>3.5068395807425851E-2</v>
      </c>
      <c r="E206" s="16">
        <v>6.4171449920184753E-2</v>
      </c>
      <c r="F206" s="19">
        <v>3.5238829085194205E-2</v>
      </c>
      <c r="G206" s="16">
        <v>3.2036711781520129E-2</v>
      </c>
      <c r="H206" s="22">
        <v>3.9771058625438088E-2</v>
      </c>
      <c r="I206" s="25">
        <v>4.6916855553266024E-2</v>
      </c>
      <c r="J206" s="22">
        <v>7.6029862684975358E-2</v>
      </c>
      <c r="K206" s="25">
        <v>6.6020536743612385E-2</v>
      </c>
      <c r="L206" s="22">
        <v>4.1997639131397077E-2</v>
      </c>
      <c r="M206" s="25">
        <v>2.5460591952111745E-2</v>
      </c>
      <c r="N206" s="19">
        <v>4.7483011899141184E-2</v>
      </c>
      <c r="O206" s="19">
        <v>3.0127810164778734E-2</v>
      </c>
      <c r="P206" s="16">
        <v>5.9712109258804213E-2</v>
      </c>
      <c r="Q206" s="19">
        <v>2.8169953828498226E-2</v>
      </c>
      <c r="R206" s="16">
        <v>3.733986489381453E-2</v>
      </c>
      <c r="S206" s="25">
        <v>6.2427946698268171E-2</v>
      </c>
      <c r="T206" s="22">
        <v>2.3901890416498171E-2</v>
      </c>
      <c r="U206" s="25">
        <v>2.1122994652406416E-2</v>
      </c>
      <c r="V206" s="22">
        <v>4.0121998096930497E-2</v>
      </c>
      <c r="W206" s="25">
        <v>5.1885431691737073E-2</v>
      </c>
    </row>
    <row r="207" spans="1:23" x14ac:dyDescent="0.2">
      <c r="A207" s="6" t="s">
        <v>368</v>
      </c>
      <c r="B207" s="19">
        <v>0</v>
      </c>
      <c r="C207" s="16">
        <v>0</v>
      </c>
      <c r="D207" s="19">
        <v>0</v>
      </c>
      <c r="E207" s="16">
        <v>0</v>
      </c>
      <c r="F207" s="19">
        <v>0</v>
      </c>
      <c r="G207" s="16">
        <v>2.5829114577952269E-5</v>
      </c>
      <c r="H207" s="22">
        <v>0</v>
      </c>
      <c r="I207" s="25">
        <v>0</v>
      </c>
      <c r="J207" s="22">
        <v>0</v>
      </c>
      <c r="K207" s="25">
        <v>0</v>
      </c>
      <c r="L207" s="22">
        <v>0</v>
      </c>
      <c r="M207" s="25">
        <v>0</v>
      </c>
      <c r="N207" s="19">
        <v>0</v>
      </c>
      <c r="O207" s="19">
        <v>0</v>
      </c>
      <c r="P207" s="16">
        <v>0</v>
      </c>
      <c r="Q207" s="19">
        <v>0</v>
      </c>
      <c r="R207" s="16">
        <v>0</v>
      </c>
      <c r="S207" s="25">
        <v>0</v>
      </c>
      <c r="T207" s="22">
        <v>0</v>
      </c>
      <c r="U207" s="25">
        <v>0</v>
      </c>
      <c r="V207" s="22">
        <v>0</v>
      </c>
      <c r="W207" s="25">
        <v>0</v>
      </c>
    </row>
    <row r="208" spans="1:23" x14ac:dyDescent="0.2">
      <c r="A208" s="6" t="s">
        <v>367</v>
      </c>
      <c r="B208" s="19">
        <v>0</v>
      </c>
      <c r="C208" s="16">
        <v>0</v>
      </c>
      <c r="D208" s="19">
        <v>0</v>
      </c>
      <c r="E208" s="16">
        <v>0</v>
      </c>
      <c r="F208" s="19">
        <v>0</v>
      </c>
      <c r="G208" s="16">
        <v>0</v>
      </c>
      <c r="H208" s="22">
        <v>0</v>
      </c>
      <c r="I208" s="25">
        <v>0</v>
      </c>
      <c r="J208" s="22">
        <v>0</v>
      </c>
      <c r="K208" s="25">
        <v>0</v>
      </c>
      <c r="L208" s="22">
        <v>0</v>
      </c>
      <c r="M208" s="25">
        <v>0</v>
      </c>
      <c r="N208" s="19">
        <v>0</v>
      </c>
      <c r="O208" s="19">
        <v>0</v>
      </c>
      <c r="P208" s="16">
        <v>0</v>
      </c>
      <c r="Q208" s="19">
        <v>0</v>
      </c>
      <c r="R208" s="16">
        <v>0</v>
      </c>
      <c r="S208" s="25">
        <v>0</v>
      </c>
      <c r="T208" s="22">
        <v>1.2636473918317832E-5</v>
      </c>
      <c r="U208" s="25">
        <v>0</v>
      </c>
      <c r="V208" s="22">
        <v>0</v>
      </c>
      <c r="W208" s="25">
        <v>0</v>
      </c>
    </row>
    <row r="209" spans="1:23" x14ac:dyDescent="0.2">
      <c r="A209" s="6" t="s">
        <v>366</v>
      </c>
      <c r="B209" s="19">
        <v>1.3221217409699085E-4</v>
      </c>
      <c r="C209" s="16">
        <v>2.7700063710146532E-5</v>
      </c>
      <c r="D209" s="19">
        <v>7.1060579143720015E-5</v>
      </c>
      <c r="E209" s="16">
        <v>5.4342288489624017E-5</v>
      </c>
      <c r="F209" s="19">
        <v>0</v>
      </c>
      <c r="G209" s="16">
        <v>0</v>
      </c>
      <c r="H209" s="22">
        <v>3.9157589719827446E-5</v>
      </c>
      <c r="I209" s="25">
        <v>0</v>
      </c>
      <c r="J209" s="22">
        <v>1.5331289161445142E-4</v>
      </c>
      <c r="K209" s="25">
        <v>0</v>
      </c>
      <c r="L209" s="22">
        <v>3.0740476600349214E-5</v>
      </c>
      <c r="M209" s="25">
        <v>0</v>
      </c>
      <c r="N209" s="19">
        <v>0</v>
      </c>
      <c r="O209" s="19">
        <v>0</v>
      </c>
      <c r="P209" s="16">
        <v>2.5866194177519691E-5</v>
      </c>
      <c r="Q209" s="19">
        <v>1.0675491739838266E-4</v>
      </c>
      <c r="R209" s="16">
        <v>4.2845513360659247E-5</v>
      </c>
      <c r="S209" s="25">
        <v>2.5762074362227647E-5</v>
      </c>
      <c r="T209" s="22">
        <v>2.5272947836635664E-5</v>
      </c>
      <c r="U209" s="25">
        <v>0</v>
      </c>
      <c r="V209" s="22">
        <v>6.9317100528700436E-5</v>
      </c>
      <c r="W209" s="25">
        <v>6.5938594683700807E-5</v>
      </c>
    </row>
    <row r="210" spans="1:23" x14ac:dyDescent="0.2">
      <c r="A210" s="6" t="s">
        <v>365</v>
      </c>
      <c r="B210" s="19">
        <v>2.1352266116664025E-3</v>
      </c>
      <c r="C210" s="16">
        <v>4.4320101936234447E-4</v>
      </c>
      <c r="D210" s="19">
        <v>1.4993782199324926E-3</v>
      </c>
      <c r="E210" s="16">
        <v>9.3740447644601423E-4</v>
      </c>
      <c r="F210" s="19">
        <v>3.2194816787079338E-3</v>
      </c>
      <c r="G210" s="16">
        <v>1.4292110066466929E-3</v>
      </c>
      <c r="H210" s="22">
        <v>7.9620432430315812E-4</v>
      </c>
      <c r="I210" s="25">
        <v>1.068926437255306E-3</v>
      </c>
      <c r="J210" s="22">
        <v>1.519797360351953E-3</v>
      </c>
      <c r="K210" s="25">
        <v>8.3112147778760829E-4</v>
      </c>
      <c r="L210" s="22">
        <v>9.7139906057103491E-4</v>
      </c>
      <c r="M210" s="25">
        <v>8.3139341536415045E-4</v>
      </c>
      <c r="N210" s="19">
        <v>5.3011241730066983E-3</v>
      </c>
      <c r="O210" s="19">
        <v>7.8992685277343318E-4</v>
      </c>
      <c r="P210" s="16">
        <v>3.1621422382017818E-3</v>
      </c>
      <c r="Q210" s="19">
        <v>3.8431770263417757E-3</v>
      </c>
      <c r="R210" s="16">
        <v>3.5776003656150458E-3</v>
      </c>
      <c r="S210" s="25">
        <v>7.5998119368571565E-4</v>
      </c>
      <c r="T210" s="22">
        <v>1.579559239789729E-3</v>
      </c>
      <c r="U210" s="25">
        <v>8.1487140310669733E-4</v>
      </c>
      <c r="V210" s="22">
        <v>1.0460580625240247E-3</v>
      </c>
      <c r="W210" s="25">
        <v>1.2775602719967026E-3</v>
      </c>
    </row>
    <row r="211" spans="1:23" x14ac:dyDescent="0.2">
      <c r="A211" s="6" t="s">
        <v>364</v>
      </c>
      <c r="B211" s="19">
        <v>7.668306097625468E-4</v>
      </c>
      <c r="C211" s="16">
        <v>3.4625079637683168E-5</v>
      </c>
      <c r="D211" s="19">
        <v>6.1822703855036424E-4</v>
      </c>
      <c r="E211" s="16">
        <v>1.5623407940766907E-4</v>
      </c>
      <c r="F211" s="19">
        <v>8.392013854451963E-5</v>
      </c>
      <c r="G211" s="16">
        <v>9.4706753452491652E-5</v>
      </c>
      <c r="H211" s="22">
        <v>0</v>
      </c>
      <c r="I211" s="25">
        <v>0</v>
      </c>
      <c r="J211" s="22">
        <v>0</v>
      </c>
      <c r="K211" s="25">
        <v>0</v>
      </c>
      <c r="L211" s="22">
        <v>1.5370238300174604E-4</v>
      </c>
      <c r="M211" s="25">
        <v>1.995344196873961E-4</v>
      </c>
      <c r="N211" s="19">
        <v>1.1773635423701465E-3</v>
      </c>
      <c r="O211" s="19">
        <v>2.2117951877656126E-4</v>
      </c>
      <c r="P211" s="16">
        <v>2.5219539323081697E-4</v>
      </c>
      <c r="Q211" s="19">
        <v>4.0033094024393497E-5</v>
      </c>
      <c r="R211" s="16">
        <v>4.9986432254102458E-5</v>
      </c>
      <c r="S211" s="25">
        <v>2.5762074362227647E-5</v>
      </c>
      <c r="T211" s="22">
        <v>3.0327537403962798E-4</v>
      </c>
      <c r="U211" s="25">
        <v>0</v>
      </c>
      <c r="V211" s="22">
        <v>1.8904663780554662E-5</v>
      </c>
      <c r="W211" s="25">
        <v>0</v>
      </c>
    </row>
    <row r="212" spans="1:23" x14ac:dyDescent="0.2">
      <c r="A212" s="6" t="s">
        <v>363</v>
      </c>
      <c r="B212" s="19">
        <v>0</v>
      </c>
      <c r="C212" s="16">
        <v>0</v>
      </c>
      <c r="D212" s="19">
        <v>1.4212115828744005E-5</v>
      </c>
      <c r="E212" s="16">
        <v>0</v>
      </c>
      <c r="F212" s="19">
        <v>0</v>
      </c>
      <c r="G212" s="16">
        <v>0</v>
      </c>
      <c r="H212" s="22">
        <v>0</v>
      </c>
      <c r="I212" s="25">
        <v>0</v>
      </c>
      <c r="J212" s="22">
        <v>0</v>
      </c>
      <c r="K212" s="25">
        <v>0</v>
      </c>
      <c r="L212" s="22">
        <v>0</v>
      </c>
      <c r="M212" s="25">
        <v>0</v>
      </c>
      <c r="N212" s="19">
        <v>0</v>
      </c>
      <c r="O212" s="19">
        <v>0</v>
      </c>
      <c r="P212" s="16">
        <v>0</v>
      </c>
      <c r="Q212" s="19">
        <v>0</v>
      </c>
      <c r="R212" s="16">
        <v>0</v>
      </c>
      <c r="S212" s="25">
        <v>0</v>
      </c>
      <c r="T212" s="22">
        <v>0</v>
      </c>
      <c r="U212" s="25">
        <v>0</v>
      </c>
      <c r="V212" s="22">
        <v>0</v>
      </c>
      <c r="W212" s="25">
        <v>0</v>
      </c>
    </row>
    <row r="213" spans="1:23" x14ac:dyDescent="0.2">
      <c r="A213" s="6" t="s">
        <v>362</v>
      </c>
      <c r="B213" s="19">
        <v>2.1781955682479242E-2</v>
      </c>
      <c r="C213" s="16">
        <v>1.9306944405972137E-2</v>
      </c>
      <c r="D213" s="19">
        <v>1.8383371824480372E-2</v>
      </c>
      <c r="E213" s="16">
        <v>1.9780593010223141E-2</v>
      </c>
      <c r="F213" s="19">
        <v>9.0862622733202635E-3</v>
      </c>
      <c r="G213" s="16">
        <v>2.2264696766194855E-2</v>
      </c>
      <c r="H213" s="22">
        <v>9.4369791224784127E-3</v>
      </c>
      <c r="I213" s="25">
        <v>8.4483824438491648E-3</v>
      </c>
      <c r="J213" s="22">
        <v>6.285828556192509E-3</v>
      </c>
      <c r="K213" s="25">
        <v>7.5002010777768845E-3</v>
      </c>
      <c r="L213" s="22">
        <v>1.3556550180754006E-2</v>
      </c>
      <c r="M213" s="25">
        <v>1.505819753907549E-2</v>
      </c>
      <c r="N213" s="19">
        <v>1.2939046036707447E-2</v>
      </c>
      <c r="O213" s="19">
        <v>2.0269523042166296E-2</v>
      </c>
      <c r="P213" s="16">
        <v>2.1772868948927198E-2</v>
      </c>
      <c r="Q213" s="19">
        <v>1.6240091809228963E-2</v>
      </c>
      <c r="R213" s="16">
        <v>1.7795169882460472E-2</v>
      </c>
      <c r="S213" s="25">
        <v>4.4181957531220419E-3</v>
      </c>
      <c r="T213" s="22">
        <v>1.8727254346947022E-2</v>
      </c>
      <c r="U213" s="25">
        <v>1.4654952890247012E-2</v>
      </c>
      <c r="V213" s="22">
        <v>4.3417711149340539E-3</v>
      </c>
      <c r="W213" s="25">
        <v>5.9262311971976086E-3</v>
      </c>
    </row>
    <row r="214" spans="1:23" x14ac:dyDescent="0.2">
      <c r="A214" s="6" t="s">
        <v>361</v>
      </c>
      <c r="B214" s="19">
        <v>3.0144375694113931E-3</v>
      </c>
      <c r="C214" s="16">
        <v>6.855765768261266E-4</v>
      </c>
      <c r="D214" s="19">
        <v>2.1957718955409491E-3</v>
      </c>
      <c r="E214" s="16">
        <v>1.8544305947084197E-3</v>
      </c>
      <c r="F214" s="19">
        <v>2.2658437407020297E-3</v>
      </c>
      <c r="G214" s="16">
        <v>2.7723249647002104E-3</v>
      </c>
      <c r="H214" s="22">
        <v>3.8113387327298716E-3</v>
      </c>
      <c r="I214" s="25">
        <v>4.3143416443437043E-4</v>
      </c>
      <c r="J214" s="22">
        <v>2.6663111585121981E-4</v>
      </c>
      <c r="K214" s="25">
        <v>2.0107777688409878E-5</v>
      </c>
      <c r="L214" s="22">
        <v>2.7051619408307308E-3</v>
      </c>
      <c r="M214" s="25">
        <v>1.988693049551047E-3</v>
      </c>
      <c r="N214" s="19">
        <v>2.2112919323703257E-3</v>
      </c>
      <c r="O214" s="19">
        <v>4.6052735516691166E-3</v>
      </c>
      <c r="P214" s="16">
        <v>3.0069450731366638E-3</v>
      </c>
      <c r="Q214" s="19">
        <v>1.0675491739838266E-3</v>
      </c>
      <c r="R214" s="16">
        <v>1.9851754523772117E-3</v>
      </c>
      <c r="S214" s="25">
        <v>1.5457244617336587E-4</v>
      </c>
      <c r="T214" s="22">
        <v>2.6789324706833805E-3</v>
      </c>
      <c r="U214" s="25">
        <v>9.1036414565826322E-4</v>
      </c>
      <c r="V214" s="22">
        <v>7.4988499662866819E-4</v>
      </c>
      <c r="W214" s="25">
        <v>5.7696270348238206E-5</v>
      </c>
    </row>
    <row r="215" spans="1:23" x14ac:dyDescent="0.2">
      <c r="A215" s="6" t="s">
        <v>360</v>
      </c>
      <c r="B215" s="19">
        <v>0</v>
      </c>
      <c r="C215" s="16">
        <v>0</v>
      </c>
      <c r="D215" s="19">
        <v>0</v>
      </c>
      <c r="E215" s="16">
        <v>0</v>
      </c>
      <c r="F215" s="19">
        <v>0</v>
      </c>
      <c r="G215" s="16">
        <v>0</v>
      </c>
      <c r="H215" s="22">
        <v>7.1788914486350318E-5</v>
      </c>
      <c r="I215" s="25">
        <v>0</v>
      </c>
      <c r="J215" s="22">
        <v>0</v>
      </c>
      <c r="K215" s="25">
        <v>0</v>
      </c>
      <c r="L215" s="22">
        <v>0</v>
      </c>
      <c r="M215" s="25">
        <v>0</v>
      </c>
      <c r="N215" s="19">
        <v>0</v>
      </c>
      <c r="O215" s="19">
        <v>0</v>
      </c>
      <c r="P215" s="16">
        <v>0</v>
      </c>
      <c r="Q215" s="19">
        <v>2.6688729349595664E-5</v>
      </c>
      <c r="R215" s="16">
        <v>0</v>
      </c>
      <c r="S215" s="25">
        <v>0</v>
      </c>
      <c r="T215" s="22">
        <v>0</v>
      </c>
      <c r="U215" s="25">
        <v>0</v>
      </c>
      <c r="V215" s="22">
        <v>0</v>
      </c>
      <c r="W215" s="25">
        <v>0</v>
      </c>
    </row>
    <row r="216" spans="1:23" x14ac:dyDescent="0.2">
      <c r="A216" s="6" t="s">
        <v>359</v>
      </c>
      <c r="B216" s="19">
        <v>0</v>
      </c>
      <c r="C216" s="16">
        <v>6.9250159275366331E-6</v>
      </c>
      <c r="D216" s="19">
        <v>0</v>
      </c>
      <c r="E216" s="16">
        <v>0</v>
      </c>
      <c r="F216" s="19">
        <v>0</v>
      </c>
      <c r="G216" s="16">
        <v>0</v>
      </c>
      <c r="H216" s="22">
        <v>0</v>
      </c>
      <c r="I216" s="25">
        <v>0</v>
      </c>
      <c r="J216" s="22">
        <v>0</v>
      </c>
      <c r="K216" s="25">
        <v>0</v>
      </c>
      <c r="L216" s="22">
        <v>6.1480953200698425E-6</v>
      </c>
      <c r="M216" s="25">
        <v>0</v>
      </c>
      <c r="N216" s="19">
        <v>0</v>
      </c>
      <c r="O216" s="19">
        <v>0</v>
      </c>
      <c r="P216" s="16">
        <v>0</v>
      </c>
      <c r="Q216" s="19">
        <v>0</v>
      </c>
      <c r="R216" s="16">
        <v>0</v>
      </c>
      <c r="S216" s="25">
        <v>0</v>
      </c>
      <c r="T216" s="22">
        <v>0</v>
      </c>
      <c r="U216" s="25">
        <v>0</v>
      </c>
      <c r="V216" s="22">
        <v>0</v>
      </c>
      <c r="W216" s="25">
        <v>0</v>
      </c>
    </row>
    <row r="217" spans="1:23" x14ac:dyDescent="0.2">
      <c r="A217" s="6" t="s">
        <v>186</v>
      </c>
      <c r="B217" s="19">
        <f>1-SUM(B2:B216)</f>
        <v>0.40990401396160592</v>
      </c>
      <c r="C217" s="16">
        <f t="shared" ref="C217:W217" si="0">1-SUM(C2:C216)</f>
        <v>0.44007783717902571</v>
      </c>
      <c r="D217" s="19">
        <f t="shared" si="0"/>
        <v>0.44909575413039582</v>
      </c>
      <c r="E217" s="16">
        <f t="shared" si="0"/>
        <v>0.42964371837108972</v>
      </c>
      <c r="F217" s="19">
        <f t="shared" si="0"/>
        <v>0.46567284878353932</v>
      </c>
      <c r="G217" s="16">
        <f t="shared" si="0"/>
        <v>0.43145813961497392</v>
      </c>
      <c r="H217" s="22">
        <f t="shared" si="0"/>
        <v>0.39339019885529347</v>
      </c>
      <c r="I217" s="25">
        <f t="shared" si="0"/>
        <v>0.48799067587059552</v>
      </c>
      <c r="J217" s="22">
        <f t="shared" si="0"/>
        <v>0.42419677376349818</v>
      </c>
      <c r="K217" s="25">
        <f t="shared" si="0"/>
        <v>0.52308372878629461</v>
      </c>
      <c r="L217" s="22">
        <f t="shared" si="0"/>
        <v>0.42329636278680882</v>
      </c>
      <c r="M217" s="25">
        <f t="shared" si="0"/>
        <v>0.44770202859993358</v>
      </c>
      <c r="N217" s="19">
        <f t="shared" si="0"/>
        <v>0.39549852680145581</v>
      </c>
      <c r="O217" s="19">
        <f t="shared" si="0"/>
        <v>0.43974437967044255</v>
      </c>
      <c r="P217" s="16">
        <f t="shared" si="0"/>
        <v>0.40939072179614866</v>
      </c>
      <c r="Q217" s="19">
        <f t="shared" si="0"/>
        <v>0.48074408177426697</v>
      </c>
      <c r="R217" s="16">
        <f t="shared" si="0"/>
        <v>0.46044645024921738</v>
      </c>
      <c r="S217" s="25">
        <f t="shared" si="0"/>
        <v>0.51851971120714668</v>
      </c>
      <c r="T217" s="22">
        <f t="shared" si="0"/>
        <v>0.44893600889607799</v>
      </c>
      <c r="U217" s="25">
        <f t="shared" si="0"/>
        <v>0.47025719378660547</v>
      </c>
      <c r="V217" s="22">
        <f t="shared" si="0"/>
        <v>0.40880705269990114</v>
      </c>
      <c r="W217" s="25">
        <f t="shared" si="0"/>
        <v>0.54982897177003931</v>
      </c>
    </row>
    <row r="218" spans="1:23" x14ac:dyDescent="0.2">
      <c r="A218" s="6"/>
      <c r="B218" s="19"/>
      <c r="C218" s="16"/>
      <c r="D218" s="19"/>
      <c r="E218" s="16"/>
      <c r="F218" s="19"/>
      <c r="G218" s="16"/>
      <c r="H218" s="22"/>
      <c r="I218" s="25"/>
      <c r="J218" s="22"/>
      <c r="K218" s="25"/>
      <c r="L218" s="22"/>
      <c r="M218" s="25"/>
      <c r="N218" s="19"/>
      <c r="O218" s="19"/>
      <c r="P218" s="16"/>
      <c r="Q218" s="19"/>
      <c r="R218" s="16"/>
      <c r="S218" s="25"/>
      <c r="T218" s="22"/>
      <c r="U218" s="25"/>
      <c r="V218" s="22"/>
      <c r="W218" s="25"/>
    </row>
    <row r="219" spans="1:23" x14ac:dyDescent="0.2">
      <c r="A219" s="6"/>
      <c r="B219" s="19"/>
      <c r="C219" s="16"/>
      <c r="D219" s="19"/>
      <c r="E219" s="16"/>
      <c r="F219" s="19"/>
      <c r="G219" s="16"/>
      <c r="H219" s="22"/>
      <c r="I219" s="25"/>
      <c r="J219" s="22"/>
      <c r="K219" s="25"/>
      <c r="L219" s="22"/>
      <c r="M219" s="25"/>
      <c r="N219" s="19"/>
      <c r="O219" s="19"/>
      <c r="P219" s="16"/>
      <c r="Q219" s="19"/>
      <c r="R219" s="16"/>
      <c r="S219" s="25"/>
      <c r="T219" s="22"/>
      <c r="U219" s="25"/>
      <c r="V219" s="22"/>
      <c r="W219" s="25"/>
    </row>
    <row r="220" spans="1:23" x14ac:dyDescent="0.2">
      <c r="A220" s="6"/>
      <c r="B220" s="19"/>
      <c r="C220" s="16"/>
      <c r="D220" s="19"/>
      <c r="E220" s="16"/>
      <c r="F220" s="19"/>
      <c r="G220" s="16"/>
      <c r="H220" s="22"/>
      <c r="I220" s="25"/>
      <c r="J220" s="22"/>
      <c r="K220" s="25"/>
      <c r="L220" s="22"/>
      <c r="M220" s="25"/>
      <c r="N220" s="19"/>
      <c r="O220" s="19"/>
      <c r="P220" s="16"/>
      <c r="Q220" s="19"/>
      <c r="R220" s="16"/>
      <c r="S220" s="25"/>
      <c r="T220" s="22"/>
      <c r="U220" s="25"/>
      <c r="V220" s="22"/>
      <c r="W220" s="25"/>
    </row>
    <row r="221" spans="1:23" x14ac:dyDescent="0.2">
      <c r="A221" s="6"/>
      <c r="B221" s="19"/>
      <c r="C221" s="16"/>
      <c r="D221" s="19"/>
      <c r="E221" s="16"/>
      <c r="F221" s="19"/>
      <c r="G221" s="16"/>
      <c r="H221" s="22"/>
      <c r="I221" s="25"/>
      <c r="J221" s="22"/>
      <c r="K221" s="25"/>
      <c r="L221" s="22"/>
      <c r="M221" s="25"/>
      <c r="N221" s="19"/>
      <c r="O221" s="19"/>
      <c r="P221" s="16"/>
      <c r="Q221" s="19"/>
      <c r="R221" s="16"/>
      <c r="S221" s="25"/>
      <c r="T221" s="22"/>
      <c r="U221" s="25"/>
      <c r="V221" s="22"/>
      <c r="W221" s="25"/>
    </row>
    <row r="222" spans="1:23" x14ac:dyDescent="0.2">
      <c r="A222" s="6"/>
      <c r="B222" s="19"/>
      <c r="C222" s="16"/>
      <c r="D222" s="19"/>
      <c r="E222" s="16"/>
      <c r="F222" s="19"/>
      <c r="G222" s="16"/>
      <c r="H222" s="22"/>
      <c r="I222" s="25"/>
      <c r="J222" s="22"/>
      <c r="K222" s="25"/>
      <c r="L222" s="22"/>
      <c r="M222" s="25"/>
      <c r="N222" s="19"/>
      <c r="O222" s="19"/>
      <c r="P222" s="16"/>
      <c r="Q222" s="19"/>
      <c r="R222" s="16"/>
      <c r="S222" s="25"/>
      <c r="T222" s="22"/>
      <c r="U222" s="25"/>
      <c r="V222" s="22"/>
      <c r="W222" s="25"/>
    </row>
    <row r="223" spans="1:23" x14ac:dyDescent="0.2">
      <c r="A223" s="6"/>
      <c r="B223" s="19"/>
      <c r="C223" s="16"/>
      <c r="D223" s="19"/>
      <c r="E223" s="16"/>
      <c r="F223" s="19"/>
      <c r="G223" s="16"/>
      <c r="H223" s="22"/>
      <c r="I223" s="25"/>
      <c r="J223" s="22"/>
      <c r="K223" s="25"/>
      <c r="L223" s="22"/>
      <c r="M223" s="25"/>
      <c r="N223" s="19"/>
      <c r="O223" s="19"/>
      <c r="P223" s="16"/>
      <c r="Q223" s="19"/>
      <c r="R223" s="16"/>
      <c r="S223" s="25"/>
      <c r="T223" s="22"/>
      <c r="U223" s="25"/>
      <c r="V223" s="22"/>
      <c r="W223" s="25"/>
    </row>
    <row r="224" spans="1:23" x14ac:dyDescent="0.2">
      <c r="A224" s="6"/>
      <c r="B224" s="19"/>
      <c r="C224" s="16"/>
      <c r="D224" s="19"/>
      <c r="E224" s="16"/>
      <c r="F224" s="19"/>
      <c r="G224" s="16"/>
      <c r="H224" s="22"/>
      <c r="I224" s="25"/>
      <c r="J224" s="22"/>
      <c r="K224" s="25"/>
      <c r="L224" s="22"/>
      <c r="M224" s="25"/>
      <c r="N224" s="19"/>
      <c r="O224" s="19"/>
      <c r="P224" s="16"/>
      <c r="Q224" s="19"/>
      <c r="R224" s="16"/>
      <c r="S224" s="25"/>
      <c r="T224" s="22"/>
      <c r="U224" s="25"/>
      <c r="V224" s="22"/>
      <c r="W224" s="25"/>
    </row>
    <row r="225" spans="1:23" x14ac:dyDescent="0.2">
      <c r="A225" s="6"/>
      <c r="B225" s="19"/>
      <c r="C225" s="16"/>
      <c r="D225" s="19"/>
      <c r="E225" s="16"/>
      <c r="F225" s="19"/>
      <c r="G225" s="16"/>
      <c r="H225" s="22"/>
      <c r="I225" s="25"/>
      <c r="J225" s="22"/>
      <c r="K225" s="25"/>
      <c r="L225" s="22"/>
      <c r="M225" s="25"/>
      <c r="N225" s="19"/>
      <c r="O225" s="19"/>
      <c r="P225" s="16"/>
      <c r="Q225" s="19"/>
      <c r="R225" s="16"/>
      <c r="S225" s="25"/>
      <c r="T225" s="22"/>
      <c r="U225" s="25"/>
      <c r="V225" s="22"/>
      <c r="W225" s="25"/>
    </row>
    <row r="226" spans="1:23" x14ac:dyDescent="0.2">
      <c r="A226" s="6"/>
      <c r="B226" s="19"/>
      <c r="C226" s="16"/>
      <c r="D226" s="19"/>
      <c r="E226" s="16"/>
      <c r="F226" s="19"/>
      <c r="G226" s="16"/>
      <c r="H226" s="22"/>
      <c r="I226" s="25"/>
      <c r="J226" s="22"/>
      <c r="K226" s="25"/>
      <c r="L226" s="22"/>
      <c r="M226" s="25"/>
      <c r="N226" s="19"/>
      <c r="O226" s="19"/>
      <c r="P226" s="16"/>
      <c r="Q226" s="19"/>
      <c r="R226" s="16"/>
      <c r="S226" s="25"/>
      <c r="T226" s="22"/>
      <c r="U226" s="25"/>
      <c r="V226" s="22"/>
      <c r="W226" s="25"/>
    </row>
    <row r="227" spans="1:23" x14ac:dyDescent="0.2">
      <c r="A227" s="6"/>
      <c r="B227" s="19"/>
      <c r="C227" s="16"/>
      <c r="D227" s="19"/>
      <c r="E227" s="16"/>
      <c r="F227" s="19"/>
      <c r="G227" s="16"/>
      <c r="H227" s="22"/>
      <c r="I227" s="25"/>
      <c r="J227" s="22"/>
      <c r="K227" s="25"/>
      <c r="L227" s="22"/>
      <c r="M227" s="25"/>
      <c r="N227" s="19"/>
      <c r="O227" s="19"/>
      <c r="P227" s="16"/>
      <c r="Q227" s="19"/>
      <c r="R227" s="16"/>
      <c r="S227" s="25"/>
      <c r="T227" s="22"/>
      <c r="U227" s="25"/>
      <c r="V227" s="22"/>
      <c r="W227" s="25"/>
    </row>
    <row r="228" spans="1:23" x14ac:dyDescent="0.2">
      <c r="A228" s="6"/>
      <c r="B228" s="19"/>
      <c r="C228" s="16"/>
      <c r="D228" s="19"/>
      <c r="E228" s="16"/>
      <c r="F228" s="19"/>
      <c r="G228" s="16"/>
      <c r="H228" s="22"/>
      <c r="I228" s="25"/>
      <c r="J228" s="22"/>
      <c r="K228" s="25"/>
      <c r="L228" s="22"/>
      <c r="M228" s="25"/>
      <c r="N228" s="19"/>
      <c r="O228" s="19"/>
      <c r="P228" s="16"/>
      <c r="Q228" s="19"/>
      <c r="R228" s="16"/>
      <c r="S228" s="25"/>
      <c r="T228" s="22"/>
      <c r="U228" s="25"/>
      <c r="V228" s="22"/>
      <c r="W228" s="25"/>
    </row>
    <row r="229" spans="1:23" x14ac:dyDescent="0.2">
      <c r="A229" s="6"/>
      <c r="B229" s="19"/>
      <c r="C229" s="16"/>
      <c r="D229" s="19"/>
      <c r="E229" s="16"/>
      <c r="F229" s="19"/>
      <c r="G229" s="16"/>
      <c r="H229" s="22"/>
      <c r="I229" s="25"/>
      <c r="J229" s="22"/>
      <c r="K229" s="25"/>
      <c r="L229" s="22"/>
      <c r="M229" s="25"/>
      <c r="N229" s="19"/>
      <c r="O229" s="19"/>
      <c r="P229" s="16"/>
      <c r="Q229" s="19"/>
      <c r="R229" s="16"/>
      <c r="S229" s="25"/>
      <c r="T229" s="22"/>
      <c r="U229" s="25"/>
      <c r="V229" s="22"/>
      <c r="W229" s="25"/>
    </row>
    <row r="230" spans="1:23" x14ac:dyDescent="0.2">
      <c r="A230" s="6"/>
      <c r="B230" s="19"/>
      <c r="C230" s="16"/>
      <c r="D230" s="19"/>
      <c r="E230" s="16"/>
      <c r="F230" s="19"/>
      <c r="G230" s="16"/>
      <c r="H230" s="22"/>
      <c r="I230" s="25"/>
      <c r="J230" s="22"/>
      <c r="K230" s="25"/>
      <c r="L230" s="22"/>
      <c r="M230" s="25"/>
      <c r="N230" s="19"/>
      <c r="O230" s="19"/>
      <c r="P230" s="16"/>
      <c r="Q230" s="19"/>
      <c r="R230" s="16"/>
      <c r="S230" s="25"/>
      <c r="T230" s="22"/>
      <c r="U230" s="25"/>
      <c r="V230" s="22"/>
      <c r="W230" s="25"/>
    </row>
    <row r="231" spans="1:23" x14ac:dyDescent="0.2">
      <c r="A231" s="6"/>
      <c r="B231" s="19"/>
      <c r="C231" s="16"/>
      <c r="D231" s="19"/>
      <c r="E231" s="16"/>
      <c r="F231" s="19"/>
      <c r="G231" s="16"/>
      <c r="H231" s="22"/>
      <c r="I231" s="25"/>
      <c r="J231" s="22"/>
      <c r="K231" s="25"/>
      <c r="L231" s="22"/>
      <c r="M231" s="25"/>
      <c r="N231" s="19"/>
      <c r="O231" s="19"/>
      <c r="P231" s="16"/>
      <c r="Q231" s="19"/>
      <c r="R231" s="16"/>
      <c r="S231" s="25"/>
      <c r="T231" s="22"/>
      <c r="U231" s="25"/>
      <c r="V231" s="22"/>
      <c r="W231" s="25"/>
    </row>
    <row r="232" spans="1:23" x14ac:dyDescent="0.2">
      <c r="A232" s="6"/>
      <c r="B232" s="19"/>
      <c r="C232" s="16"/>
      <c r="D232" s="19"/>
      <c r="E232" s="16"/>
      <c r="F232" s="19"/>
      <c r="G232" s="16"/>
      <c r="H232" s="22"/>
      <c r="I232" s="25"/>
      <c r="J232" s="22"/>
      <c r="K232" s="25"/>
      <c r="L232" s="22"/>
      <c r="M232" s="25"/>
      <c r="N232" s="19"/>
      <c r="O232" s="19"/>
      <c r="P232" s="16"/>
      <c r="Q232" s="19"/>
      <c r="R232" s="16"/>
      <c r="S232" s="25"/>
      <c r="T232" s="22"/>
      <c r="U232" s="25"/>
      <c r="V232" s="22"/>
      <c r="W232" s="25"/>
    </row>
    <row r="233" spans="1:23" x14ac:dyDescent="0.2">
      <c r="A233" s="6"/>
      <c r="B233" s="19"/>
      <c r="C233" s="16"/>
      <c r="D233" s="19"/>
      <c r="E233" s="16"/>
      <c r="F233" s="19"/>
      <c r="G233" s="16"/>
      <c r="H233" s="22"/>
      <c r="I233" s="25"/>
      <c r="J233" s="22"/>
      <c r="K233" s="25"/>
      <c r="L233" s="22"/>
      <c r="M233" s="25"/>
      <c r="N233" s="19"/>
      <c r="O233" s="19"/>
      <c r="P233" s="16"/>
      <c r="Q233" s="19"/>
      <c r="R233" s="16"/>
      <c r="S233" s="25"/>
      <c r="T233" s="22"/>
      <c r="U233" s="25"/>
      <c r="V233" s="22"/>
      <c r="W233" s="25"/>
    </row>
    <row r="234" spans="1:23" x14ac:dyDescent="0.2">
      <c r="A234" s="6"/>
      <c r="B234" s="19"/>
      <c r="C234" s="16"/>
      <c r="D234" s="19"/>
      <c r="E234" s="16"/>
      <c r="F234" s="19"/>
      <c r="G234" s="16"/>
      <c r="H234" s="22"/>
      <c r="I234" s="25"/>
      <c r="J234" s="22"/>
      <c r="K234" s="25"/>
      <c r="L234" s="22"/>
      <c r="M234" s="25"/>
      <c r="N234" s="19"/>
      <c r="O234" s="19"/>
      <c r="P234" s="16"/>
      <c r="Q234" s="19"/>
      <c r="R234" s="16"/>
      <c r="S234" s="25"/>
      <c r="T234" s="22"/>
      <c r="U234" s="25"/>
      <c r="V234" s="22"/>
      <c r="W234" s="25"/>
    </row>
    <row r="235" spans="1:23" x14ac:dyDescent="0.2">
      <c r="A235" s="6"/>
      <c r="B235" s="19"/>
      <c r="C235" s="16"/>
      <c r="D235" s="19"/>
      <c r="E235" s="16"/>
      <c r="F235" s="19"/>
      <c r="G235" s="16"/>
      <c r="H235" s="22"/>
      <c r="I235" s="25"/>
      <c r="J235" s="22"/>
      <c r="K235" s="25"/>
      <c r="L235" s="22"/>
      <c r="M235" s="25"/>
      <c r="N235" s="19"/>
      <c r="O235" s="19"/>
      <c r="P235" s="16"/>
      <c r="Q235" s="19"/>
      <c r="R235" s="16"/>
      <c r="S235" s="25"/>
      <c r="T235" s="22"/>
      <c r="U235" s="25"/>
      <c r="V235" s="22"/>
      <c r="W235" s="25"/>
    </row>
    <row r="236" spans="1:23" x14ac:dyDescent="0.2">
      <c r="A236" s="6"/>
      <c r="B236" s="19"/>
      <c r="C236" s="16"/>
      <c r="D236" s="19"/>
      <c r="E236" s="16"/>
      <c r="F236" s="19"/>
      <c r="G236" s="16"/>
      <c r="H236" s="22"/>
      <c r="I236" s="25"/>
      <c r="J236" s="22"/>
      <c r="K236" s="25"/>
      <c r="L236" s="22"/>
      <c r="M236" s="25"/>
      <c r="N236" s="19"/>
      <c r="O236" s="19"/>
      <c r="P236" s="16"/>
      <c r="Q236" s="19"/>
      <c r="R236" s="16"/>
      <c r="S236" s="25"/>
      <c r="T236" s="22"/>
      <c r="U236" s="25"/>
      <c r="V236" s="22"/>
      <c r="W236" s="25"/>
    </row>
    <row r="237" spans="1:23" x14ac:dyDescent="0.2">
      <c r="A237" s="6"/>
      <c r="B237" s="19"/>
      <c r="C237" s="16"/>
      <c r="D237" s="19"/>
      <c r="E237" s="16"/>
      <c r="F237" s="19"/>
      <c r="G237" s="16"/>
      <c r="H237" s="22"/>
      <c r="I237" s="25"/>
      <c r="J237" s="22"/>
      <c r="K237" s="25"/>
      <c r="L237" s="22"/>
      <c r="M237" s="25"/>
      <c r="N237" s="19"/>
      <c r="O237" s="19"/>
      <c r="P237" s="16"/>
      <c r="Q237" s="19"/>
      <c r="R237" s="16"/>
      <c r="S237" s="25"/>
      <c r="T237" s="22"/>
      <c r="U237" s="25"/>
      <c r="V237" s="22"/>
      <c r="W237" s="25"/>
    </row>
    <row r="238" spans="1:23" x14ac:dyDescent="0.2">
      <c r="A238" s="6"/>
      <c r="B238" s="19"/>
      <c r="C238" s="16"/>
      <c r="D238" s="19"/>
      <c r="E238" s="16"/>
      <c r="F238" s="19"/>
      <c r="G238" s="16"/>
      <c r="H238" s="22"/>
      <c r="I238" s="25"/>
      <c r="J238" s="22"/>
      <c r="K238" s="25"/>
      <c r="L238" s="22"/>
      <c r="M238" s="25"/>
      <c r="N238" s="19"/>
      <c r="O238" s="19"/>
      <c r="P238" s="16"/>
      <c r="Q238" s="19"/>
      <c r="R238" s="16"/>
      <c r="S238" s="25"/>
      <c r="T238" s="22"/>
      <c r="U238" s="25"/>
      <c r="V238" s="22"/>
      <c r="W238" s="25"/>
    </row>
    <row r="239" spans="1:23" x14ac:dyDescent="0.2">
      <c r="A239" s="6"/>
      <c r="B239" s="19"/>
      <c r="C239" s="16"/>
      <c r="D239" s="19"/>
      <c r="E239" s="16"/>
      <c r="F239" s="19"/>
      <c r="G239" s="16"/>
      <c r="H239" s="22"/>
      <c r="I239" s="25"/>
      <c r="J239" s="22"/>
      <c r="K239" s="25"/>
      <c r="L239" s="22"/>
      <c r="M239" s="25"/>
      <c r="N239" s="19"/>
      <c r="O239" s="19"/>
      <c r="P239" s="16"/>
      <c r="Q239" s="19"/>
      <c r="R239" s="16"/>
      <c r="S239" s="25"/>
      <c r="T239" s="22"/>
      <c r="U239" s="25"/>
      <c r="V239" s="22"/>
      <c r="W239" s="25"/>
    </row>
    <row r="240" spans="1:23" x14ac:dyDescent="0.2">
      <c r="A240" s="6"/>
      <c r="B240" s="19"/>
      <c r="C240" s="16"/>
      <c r="D240" s="19"/>
      <c r="E240" s="16"/>
      <c r="F240" s="19"/>
      <c r="G240" s="16"/>
      <c r="H240" s="22"/>
      <c r="I240" s="25"/>
      <c r="J240" s="22"/>
      <c r="K240" s="25"/>
      <c r="L240" s="22"/>
      <c r="M240" s="25"/>
      <c r="N240" s="19"/>
      <c r="O240" s="19"/>
      <c r="P240" s="16"/>
      <c r="Q240" s="19"/>
      <c r="R240" s="16"/>
      <c r="S240" s="25"/>
      <c r="T240" s="22"/>
      <c r="U240" s="25"/>
      <c r="V240" s="22"/>
      <c r="W240" s="25"/>
    </row>
    <row r="241" spans="1:23" x14ac:dyDescent="0.2">
      <c r="A241" s="6"/>
      <c r="B241" s="19"/>
      <c r="C241" s="16"/>
      <c r="D241" s="19"/>
      <c r="E241" s="16"/>
      <c r="F241" s="19"/>
      <c r="G241" s="16"/>
      <c r="H241" s="22"/>
      <c r="I241" s="25"/>
      <c r="J241" s="22"/>
      <c r="K241" s="25"/>
      <c r="L241" s="22"/>
      <c r="M241" s="25"/>
      <c r="N241" s="19"/>
      <c r="O241" s="19"/>
      <c r="P241" s="16"/>
      <c r="Q241" s="19"/>
      <c r="R241" s="16"/>
      <c r="S241" s="25"/>
      <c r="T241" s="22"/>
      <c r="U241" s="25"/>
      <c r="V241" s="22"/>
      <c r="W241" s="25"/>
    </row>
    <row r="242" spans="1:23" x14ac:dyDescent="0.2">
      <c r="A242" s="6"/>
      <c r="B242" s="19"/>
      <c r="C242" s="16"/>
      <c r="D242" s="19"/>
      <c r="E242" s="16"/>
      <c r="F242" s="19"/>
      <c r="G242" s="16"/>
      <c r="H242" s="22"/>
      <c r="I242" s="25"/>
      <c r="J242" s="22"/>
      <c r="K242" s="25"/>
      <c r="L242" s="22"/>
      <c r="M242" s="25"/>
      <c r="N242" s="19"/>
      <c r="O242" s="19"/>
      <c r="P242" s="16"/>
      <c r="Q242" s="19"/>
      <c r="R242" s="16"/>
      <c r="S242" s="25"/>
      <c r="T242" s="22"/>
      <c r="U242" s="25"/>
      <c r="V242" s="22"/>
      <c r="W242" s="25"/>
    </row>
    <row r="243" spans="1:23" x14ac:dyDescent="0.2">
      <c r="A243" s="6"/>
      <c r="B243" s="19"/>
      <c r="C243" s="16"/>
      <c r="D243" s="19"/>
      <c r="E243" s="16"/>
      <c r="F243" s="19"/>
      <c r="G243" s="16"/>
      <c r="H243" s="22"/>
      <c r="I243" s="25"/>
      <c r="J243" s="22"/>
      <c r="K243" s="25"/>
      <c r="L243" s="22"/>
      <c r="M243" s="25"/>
      <c r="N243" s="19"/>
      <c r="O243" s="19"/>
      <c r="P243" s="16"/>
      <c r="Q243" s="19"/>
      <c r="R243" s="16"/>
      <c r="S243" s="25"/>
      <c r="T243" s="22"/>
      <c r="U243" s="25"/>
      <c r="V243" s="22"/>
      <c r="W243" s="25"/>
    </row>
    <row r="244" spans="1:23" x14ac:dyDescent="0.2">
      <c r="A244" s="6"/>
      <c r="B244" s="19"/>
      <c r="C244" s="16"/>
      <c r="D244" s="19"/>
      <c r="E244" s="16"/>
      <c r="F244" s="19"/>
      <c r="G244" s="16"/>
      <c r="H244" s="22"/>
      <c r="I244" s="25"/>
      <c r="J244" s="22"/>
      <c r="K244" s="25"/>
      <c r="L244" s="22"/>
      <c r="M244" s="25"/>
      <c r="N244" s="19"/>
      <c r="O244" s="19"/>
      <c r="P244" s="16"/>
      <c r="Q244" s="19"/>
      <c r="R244" s="16"/>
      <c r="S244" s="25"/>
      <c r="T244" s="22"/>
      <c r="U244" s="25"/>
      <c r="V244" s="22"/>
      <c r="W244" s="25"/>
    </row>
    <row r="245" spans="1:23" x14ac:dyDescent="0.2">
      <c r="A245" s="6"/>
      <c r="B245" s="19"/>
      <c r="C245" s="16"/>
      <c r="D245" s="19"/>
      <c r="E245" s="16"/>
      <c r="F245" s="19"/>
      <c r="G245" s="16"/>
      <c r="H245" s="22"/>
      <c r="I245" s="25"/>
      <c r="J245" s="22"/>
      <c r="K245" s="25"/>
      <c r="L245" s="22"/>
      <c r="M245" s="25"/>
      <c r="N245" s="19"/>
      <c r="O245" s="19"/>
      <c r="P245" s="16"/>
      <c r="Q245" s="19"/>
      <c r="R245" s="16"/>
      <c r="S245" s="25"/>
      <c r="T245" s="22"/>
      <c r="U245" s="25"/>
      <c r="V245" s="22"/>
      <c r="W245" s="25"/>
    </row>
    <row r="246" spans="1:23" x14ac:dyDescent="0.2">
      <c r="A246" s="6"/>
      <c r="B246" s="19"/>
      <c r="C246" s="16"/>
      <c r="D246" s="19"/>
      <c r="E246" s="16"/>
      <c r="F246" s="19"/>
      <c r="G246" s="16"/>
      <c r="H246" s="22"/>
      <c r="I246" s="25"/>
      <c r="J246" s="22"/>
      <c r="K246" s="25"/>
      <c r="L246" s="22"/>
      <c r="M246" s="25"/>
      <c r="N246" s="19"/>
      <c r="O246" s="19"/>
      <c r="P246" s="16"/>
      <c r="Q246" s="19"/>
      <c r="R246" s="16"/>
      <c r="S246" s="25"/>
      <c r="T246" s="22"/>
      <c r="U246" s="25"/>
      <c r="V246" s="22"/>
      <c r="W246" s="25"/>
    </row>
    <row r="247" spans="1:23" x14ac:dyDescent="0.2">
      <c r="A247" s="6"/>
      <c r="B247" s="19"/>
      <c r="C247" s="16"/>
      <c r="D247" s="19"/>
      <c r="E247" s="16"/>
      <c r="F247" s="19"/>
      <c r="G247" s="16"/>
      <c r="H247" s="22"/>
      <c r="I247" s="25"/>
      <c r="J247" s="22"/>
      <c r="K247" s="25"/>
      <c r="L247" s="22"/>
      <c r="M247" s="25"/>
      <c r="N247" s="19"/>
      <c r="O247" s="19"/>
      <c r="P247" s="16"/>
      <c r="Q247" s="19"/>
      <c r="R247" s="16"/>
      <c r="S247" s="25"/>
      <c r="T247" s="22"/>
      <c r="U247" s="25"/>
      <c r="V247" s="22"/>
      <c r="W247" s="25"/>
    </row>
    <row r="248" spans="1:23" x14ac:dyDescent="0.2">
      <c r="A248" s="6"/>
      <c r="B248" s="19"/>
      <c r="C248" s="16"/>
      <c r="D248" s="19"/>
      <c r="E248" s="16"/>
      <c r="F248" s="19"/>
      <c r="G248" s="16"/>
      <c r="H248" s="22"/>
      <c r="I248" s="25"/>
      <c r="J248" s="22"/>
      <c r="K248" s="25"/>
      <c r="L248" s="22"/>
      <c r="M248" s="25"/>
      <c r="N248" s="19"/>
      <c r="O248" s="19"/>
      <c r="P248" s="16"/>
      <c r="Q248" s="19"/>
      <c r="R248" s="16"/>
      <c r="S248" s="25"/>
      <c r="T248" s="22"/>
      <c r="U248" s="25"/>
      <c r="V248" s="22"/>
      <c r="W248" s="25"/>
    </row>
    <row r="249" spans="1:23" x14ac:dyDescent="0.2">
      <c r="A249" s="6"/>
      <c r="B249" s="19"/>
      <c r="C249" s="16"/>
      <c r="D249" s="19"/>
      <c r="E249" s="16"/>
      <c r="F249" s="19"/>
      <c r="G249" s="16"/>
      <c r="H249" s="22"/>
      <c r="I249" s="25"/>
      <c r="J249" s="22"/>
      <c r="K249" s="25"/>
      <c r="L249" s="22"/>
      <c r="M249" s="25"/>
      <c r="N249" s="19"/>
      <c r="O249" s="19"/>
      <c r="P249" s="16"/>
      <c r="Q249" s="19"/>
      <c r="R249" s="16"/>
      <c r="S249" s="25"/>
      <c r="T249" s="22"/>
      <c r="U249" s="25"/>
      <c r="V249" s="22"/>
      <c r="W249" s="25"/>
    </row>
    <row r="250" spans="1:23" x14ac:dyDescent="0.2">
      <c r="A250" s="6"/>
      <c r="B250" s="19"/>
      <c r="C250" s="16"/>
      <c r="D250" s="19"/>
      <c r="E250" s="16"/>
      <c r="F250" s="19"/>
      <c r="G250" s="16"/>
      <c r="H250" s="22"/>
      <c r="I250" s="25"/>
      <c r="J250" s="22"/>
      <c r="K250" s="25"/>
      <c r="L250" s="22"/>
      <c r="M250" s="25"/>
      <c r="N250" s="19"/>
      <c r="O250" s="19"/>
      <c r="P250" s="16"/>
      <c r="Q250" s="19"/>
      <c r="R250" s="16"/>
      <c r="S250" s="25"/>
      <c r="T250" s="22"/>
      <c r="U250" s="25"/>
      <c r="V250" s="22"/>
      <c r="W250" s="25"/>
    </row>
    <row r="251" spans="1:23" x14ac:dyDescent="0.2">
      <c r="A251" s="6"/>
      <c r="B251" s="19"/>
      <c r="C251" s="16"/>
      <c r="D251" s="19"/>
      <c r="E251" s="16"/>
      <c r="F251" s="19"/>
      <c r="G251" s="16"/>
      <c r="H251" s="22"/>
      <c r="I251" s="25"/>
      <c r="J251" s="22"/>
      <c r="K251" s="25"/>
      <c r="L251" s="22"/>
      <c r="M251" s="25"/>
      <c r="N251" s="19"/>
      <c r="O251" s="19"/>
      <c r="P251" s="16"/>
      <c r="Q251" s="19"/>
      <c r="R251" s="16"/>
      <c r="S251" s="25"/>
      <c r="T251" s="22"/>
      <c r="U251" s="25"/>
      <c r="V251" s="22"/>
      <c r="W251" s="25"/>
    </row>
    <row r="252" spans="1:23" x14ac:dyDescent="0.2">
      <c r="A252" s="6"/>
      <c r="B252" s="19"/>
      <c r="C252" s="16"/>
      <c r="D252" s="19"/>
      <c r="E252" s="16"/>
      <c r="F252" s="19"/>
      <c r="G252" s="16"/>
      <c r="H252" s="22"/>
      <c r="I252" s="25"/>
      <c r="J252" s="22"/>
      <c r="K252" s="25"/>
      <c r="L252" s="22"/>
      <c r="M252" s="25"/>
      <c r="N252" s="19"/>
      <c r="O252" s="19"/>
      <c r="P252" s="16"/>
      <c r="Q252" s="19"/>
      <c r="R252" s="16"/>
      <c r="S252" s="25"/>
      <c r="T252" s="22"/>
      <c r="U252" s="25"/>
      <c r="V252" s="22"/>
      <c r="W252" s="25"/>
    </row>
    <row r="253" spans="1:23" x14ac:dyDescent="0.2">
      <c r="A253" s="6"/>
      <c r="B253" s="19"/>
      <c r="C253" s="16"/>
      <c r="D253" s="19"/>
      <c r="E253" s="16"/>
      <c r="F253" s="19"/>
      <c r="G253" s="16"/>
      <c r="H253" s="22"/>
      <c r="I253" s="25"/>
      <c r="J253" s="22"/>
      <c r="K253" s="25"/>
      <c r="L253" s="22"/>
      <c r="M253" s="25"/>
      <c r="N253" s="19"/>
      <c r="O253" s="19"/>
      <c r="P253" s="16"/>
      <c r="Q253" s="19"/>
      <c r="R253" s="16"/>
      <c r="S253" s="25"/>
      <c r="T253" s="22"/>
      <c r="U253" s="25"/>
      <c r="V253" s="22"/>
      <c r="W253" s="25"/>
    </row>
    <row r="254" spans="1:23" x14ac:dyDescent="0.2">
      <c r="A254" s="6"/>
      <c r="B254" s="19"/>
      <c r="C254" s="16"/>
      <c r="D254" s="19"/>
      <c r="E254" s="16"/>
      <c r="F254" s="19"/>
      <c r="G254" s="16"/>
      <c r="H254" s="22"/>
      <c r="I254" s="25"/>
      <c r="J254" s="22"/>
      <c r="K254" s="25"/>
      <c r="L254" s="22"/>
      <c r="M254" s="25"/>
      <c r="N254" s="19"/>
      <c r="O254" s="19"/>
      <c r="P254" s="16"/>
      <c r="Q254" s="19"/>
      <c r="R254" s="16"/>
      <c r="S254" s="25"/>
      <c r="T254" s="22"/>
      <c r="U254" s="25"/>
      <c r="V254" s="22"/>
      <c r="W254" s="25"/>
    </row>
    <row r="255" spans="1:23" x14ac:dyDescent="0.2">
      <c r="A255" s="6"/>
      <c r="B255" s="19"/>
      <c r="C255" s="16"/>
      <c r="D255" s="19"/>
      <c r="E255" s="16"/>
      <c r="F255" s="19"/>
      <c r="G255" s="16"/>
      <c r="H255" s="22"/>
      <c r="I255" s="25"/>
      <c r="J255" s="22"/>
      <c r="K255" s="25"/>
      <c r="L255" s="22"/>
      <c r="M255" s="25"/>
      <c r="N255" s="19"/>
      <c r="O255" s="19"/>
      <c r="P255" s="16"/>
      <c r="Q255" s="19"/>
      <c r="R255" s="16"/>
      <c r="S255" s="25"/>
      <c r="T255" s="22"/>
      <c r="U255" s="25"/>
      <c r="V255" s="22"/>
      <c r="W255" s="25"/>
    </row>
    <row r="256" spans="1:23" x14ac:dyDescent="0.2">
      <c r="A256" s="6"/>
      <c r="B256" s="19"/>
      <c r="C256" s="16"/>
      <c r="D256" s="19"/>
      <c r="E256" s="16"/>
      <c r="F256" s="19"/>
      <c r="G256" s="16"/>
      <c r="H256" s="22"/>
      <c r="I256" s="25"/>
      <c r="J256" s="22"/>
      <c r="K256" s="25"/>
      <c r="L256" s="22"/>
      <c r="M256" s="25"/>
      <c r="N256" s="19"/>
      <c r="O256" s="19"/>
      <c r="P256" s="16"/>
      <c r="Q256" s="19"/>
      <c r="R256" s="16"/>
      <c r="S256" s="25"/>
      <c r="T256" s="22"/>
      <c r="U256" s="25"/>
      <c r="V256" s="22"/>
      <c r="W256" s="25"/>
    </row>
    <row r="257" spans="1:23" x14ac:dyDescent="0.2">
      <c r="A257" s="6"/>
      <c r="B257" s="19"/>
      <c r="C257" s="16"/>
      <c r="D257" s="19"/>
      <c r="E257" s="16"/>
      <c r="F257" s="19"/>
      <c r="G257" s="16"/>
      <c r="H257" s="22"/>
      <c r="I257" s="25"/>
      <c r="J257" s="22"/>
      <c r="K257" s="25"/>
      <c r="L257" s="22"/>
      <c r="M257" s="25"/>
      <c r="N257" s="19"/>
      <c r="O257" s="19"/>
      <c r="P257" s="16"/>
      <c r="Q257" s="19"/>
      <c r="R257" s="16"/>
      <c r="S257" s="25"/>
      <c r="T257" s="22"/>
      <c r="U257" s="25"/>
      <c r="V257" s="22"/>
      <c r="W257" s="25"/>
    </row>
    <row r="258" spans="1:23" x14ac:dyDescent="0.2">
      <c r="A258" s="6"/>
      <c r="B258" s="19"/>
      <c r="C258" s="16"/>
      <c r="D258" s="19"/>
      <c r="E258" s="16"/>
      <c r="F258" s="19"/>
      <c r="G258" s="16"/>
      <c r="H258" s="22"/>
      <c r="I258" s="25"/>
      <c r="J258" s="22"/>
      <c r="K258" s="25"/>
      <c r="L258" s="22"/>
      <c r="M258" s="25"/>
      <c r="N258" s="19"/>
      <c r="O258" s="19"/>
      <c r="P258" s="16"/>
      <c r="Q258" s="19"/>
      <c r="R258" s="16"/>
      <c r="S258" s="25"/>
      <c r="T258" s="22"/>
      <c r="U258" s="25"/>
      <c r="V258" s="22"/>
      <c r="W258" s="25"/>
    </row>
    <row r="259" spans="1:23" x14ac:dyDescent="0.2">
      <c r="A259" s="6"/>
      <c r="B259" s="19"/>
      <c r="C259" s="16"/>
      <c r="D259" s="19"/>
      <c r="E259" s="16"/>
      <c r="F259" s="19"/>
      <c r="G259" s="16"/>
      <c r="H259" s="22"/>
      <c r="I259" s="25"/>
      <c r="J259" s="22"/>
      <c r="K259" s="25"/>
      <c r="L259" s="22"/>
      <c r="M259" s="25"/>
      <c r="N259" s="19"/>
      <c r="O259" s="19"/>
      <c r="P259" s="16"/>
      <c r="Q259" s="19"/>
      <c r="R259" s="16"/>
      <c r="S259" s="25"/>
      <c r="T259" s="22"/>
      <c r="U259" s="25"/>
      <c r="V259" s="22"/>
      <c r="W259" s="25"/>
    </row>
    <row r="260" spans="1:23" x14ac:dyDescent="0.2">
      <c r="A260" s="6"/>
      <c r="B260" s="19"/>
      <c r="C260" s="16"/>
      <c r="D260" s="19"/>
      <c r="E260" s="16"/>
      <c r="F260" s="19"/>
      <c r="G260" s="16"/>
      <c r="H260" s="22"/>
      <c r="I260" s="25"/>
      <c r="J260" s="22"/>
      <c r="K260" s="25"/>
      <c r="L260" s="22"/>
      <c r="M260" s="25"/>
      <c r="N260" s="19"/>
      <c r="O260" s="19"/>
      <c r="P260" s="16"/>
      <c r="Q260" s="19"/>
      <c r="R260" s="16"/>
      <c r="S260" s="25"/>
      <c r="T260" s="22"/>
      <c r="U260" s="25"/>
      <c r="V260" s="22"/>
      <c r="W260" s="25"/>
    </row>
    <row r="261" spans="1:23" x14ac:dyDescent="0.2">
      <c r="A261" s="6"/>
      <c r="B261" s="19"/>
      <c r="C261" s="16"/>
      <c r="D261" s="19"/>
      <c r="E261" s="16"/>
      <c r="F261" s="19"/>
      <c r="G261" s="16"/>
      <c r="H261" s="22"/>
      <c r="I261" s="25"/>
      <c r="J261" s="22"/>
      <c r="K261" s="25"/>
      <c r="L261" s="22"/>
      <c r="M261" s="25"/>
      <c r="N261" s="19"/>
      <c r="O261" s="19"/>
      <c r="P261" s="16"/>
      <c r="Q261" s="19"/>
      <c r="R261" s="16"/>
      <c r="S261" s="25"/>
      <c r="T261" s="22"/>
      <c r="U261" s="25"/>
      <c r="V261" s="22"/>
      <c r="W261" s="25"/>
    </row>
    <row r="262" spans="1:23" x14ac:dyDescent="0.2">
      <c r="A262" s="6"/>
      <c r="B262" s="19"/>
      <c r="C262" s="16"/>
      <c r="D262" s="19"/>
      <c r="E262" s="16"/>
      <c r="F262" s="19"/>
      <c r="G262" s="16"/>
      <c r="H262" s="22"/>
      <c r="I262" s="25"/>
      <c r="J262" s="22"/>
      <c r="K262" s="25"/>
      <c r="L262" s="22"/>
      <c r="M262" s="25"/>
      <c r="N262" s="19"/>
      <c r="O262" s="19"/>
      <c r="P262" s="16"/>
      <c r="Q262" s="19"/>
      <c r="R262" s="16"/>
      <c r="S262" s="25"/>
      <c r="T262" s="22"/>
      <c r="U262" s="25"/>
      <c r="V262" s="22"/>
      <c r="W262" s="25"/>
    </row>
    <row r="263" spans="1:23" x14ac:dyDescent="0.2">
      <c r="A263" s="6"/>
      <c r="B263" s="19"/>
      <c r="C263" s="16"/>
      <c r="D263" s="19"/>
      <c r="E263" s="16"/>
      <c r="F263" s="19"/>
      <c r="G263" s="16"/>
      <c r="H263" s="22"/>
      <c r="I263" s="25"/>
      <c r="J263" s="22"/>
      <c r="K263" s="25"/>
      <c r="L263" s="22"/>
      <c r="M263" s="25"/>
      <c r="N263" s="19"/>
      <c r="O263" s="19"/>
      <c r="P263" s="16"/>
      <c r="Q263" s="19"/>
      <c r="R263" s="16"/>
      <c r="S263" s="25"/>
      <c r="T263" s="22"/>
      <c r="U263" s="25"/>
      <c r="V263" s="22"/>
      <c r="W263" s="25"/>
    </row>
    <row r="264" spans="1:23" x14ac:dyDescent="0.2">
      <c r="A264" s="6"/>
      <c r="B264" s="19"/>
      <c r="C264" s="16"/>
      <c r="D264" s="19"/>
      <c r="E264" s="16"/>
      <c r="F264" s="19"/>
      <c r="G264" s="16"/>
      <c r="H264" s="22"/>
      <c r="I264" s="25"/>
      <c r="J264" s="22"/>
      <c r="K264" s="25"/>
      <c r="L264" s="22"/>
      <c r="M264" s="25"/>
      <c r="N264" s="19"/>
      <c r="O264" s="19"/>
      <c r="P264" s="16"/>
      <c r="Q264" s="19"/>
      <c r="R264" s="16"/>
      <c r="S264" s="25"/>
      <c r="T264" s="22"/>
      <c r="U264" s="25"/>
      <c r="V264" s="22"/>
      <c r="W264" s="25"/>
    </row>
    <row r="265" spans="1:23" x14ac:dyDescent="0.2">
      <c r="A265" s="6"/>
      <c r="B265" s="19"/>
      <c r="C265" s="16"/>
      <c r="D265" s="19"/>
      <c r="E265" s="16"/>
      <c r="F265" s="19"/>
      <c r="G265" s="16"/>
      <c r="H265" s="22"/>
      <c r="I265" s="25"/>
      <c r="J265" s="22"/>
      <c r="K265" s="25"/>
      <c r="L265" s="22"/>
      <c r="M265" s="25"/>
      <c r="N265" s="19"/>
      <c r="O265" s="19"/>
      <c r="P265" s="16"/>
      <c r="Q265" s="19"/>
      <c r="R265" s="16"/>
      <c r="S265" s="25"/>
      <c r="T265" s="22"/>
      <c r="U265" s="25"/>
      <c r="V265" s="22"/>
      <c r="W265" s="25"/>
    </row>
    <row r="266" spans="1:23" x14ac:dyDescent="0.2">
      <c r="A266" s="6"/>
      <c r="B266" s="19"/>
      <c r="C266" s="16"/>
      <c r="D266" s="19"/>
      <c r="E266" s="16"/>
      <c r="F266" s="19"/>
      <c r="G266" s="16"/>
      <c r="H266" s="22"/>
      <c r="I266" s="25"/>
      <c r="J266" s="22"/>
      <c r="K266" s="25"/>
      <c r="L266" s="22"/>
      <c r="M266" s="25"/>
      <c r="N266" s="19"/>
      <c r="O266" s="19"/>
      <c r="P266" s="16"/>
      <c r="Q266" s="19"/>
      <c r="R266" s="16"/>
      <c r="S266" s="25"/>
      <c r="T266" s="22"/>
      <c r="U266" s="25"/>
      <c r="V266" s="22"/>
      <c r="W266" s="25"/>
    </row>
    <row r="267" spans="1:23" x14ac:dyDescent="0.2">
      <c r="A267" s="6"/>
      <c r="B267" s="19"/>
      <c r="C267" s="16"/>
      <c r="D267" s="19"/>
      <c r="E267" s="16"/>
      <c r="F267" s="19"/>
      <c r="G267" s="16"/>
      <c r="H267" s="22"/>
      <c r="I267" s="25"/>
      <c r="J267" s="22"/>
      <c r="K267" s="25"/>
      <c r="L267" s="22"/>
      <c r="M267" s="25"/>
      <c r="N267" s="19"/>
      <c r="O267" s="19"/>
      <c r="P267" s="16"/>
      <c r="Q267" s="19"/>
      <c r="R267" s="16"/>
      <c r="S267" s="25"/>
      <c r="T267" s="22"/>
      <c r="U267" s="25"/>
      <c r="V267" s="22"/>
      <c r="W267" s="25"/>
    </row>
    <row r="268" spans="1:23" x14ac:dyDescent="0.2">
      <c r="A268" s="6"/>
      <c r="B268" s="19"/>
      <c r="C268" s="16"/>
      <c r="D268" s="19"/>
      <c r="E268" s="16"/>
      <c r="F268" s="19"/>
      <c r="G268" s="16"/>
      <c r="H268" s="22"/>
      <c r="I268" s="25"/>
      <c r="J268" s="22"/>
      <c r="K268" s="25"/>
      <c r="L268" s="22"/>
      <c r="M268" s="25"/>
      <c r="N268" s="19"/>
      <c r="O268" s="19"/>
      <c r="P268" s="16"/>
      <c r="Q268" s="19"/>
      <c r="R268" s="16"/>
      <c r="S268" s="25"/>
      <c r="T268" s="22"/>
      <c r="U268" s="25"/>
      <c r="V268" s="22"/>
      <c r="W268" s="25"/>
    </row>
    <row r="269" spans="1:23" x14ac:dyDescent="0.2">
      <c r="A269" s="6"/>
      <c r="B269" s="19"/>
      <c r="C269" s="16"/>
      <c r="D269" s="19"/>
      <c r="E269" s="16"/>
      <c r="F269" s="19"/>
      <c r="G269" s="16"/>
      <c r="H269" s="22"/>
      <c r="I269" s="25"/>
      <c r="J269" s="22"/>
      <c r="K269" s="25"/>
      <c r="L269" s="22"/>
      <c r="M269" s="25"/>
      <c r="N269" s="19"/>
      <c r="O269" s="19"/>
      <c r="P269" s="16"/>
      <c r="Q269" s="19"/>
      <c r="R269" s="16"/>
      <c r="S269" s="25"/>
      <c r="T269" s="22"/>
      <c r="U269" s="25"/>
      <c r="V269" s="22"/>
      <c r="W269" s="25"/>
    </row>
    <row r="270" spans="1:23" x14ac:dyDescent="0.2">
      <c r="A270" s="6"/>
      <c r="B270" s="19"/>
      <c r="C270" s="16"/>
      <c r="D270" s="19"/>
      <c r="E270" s="16"/>
      <c r="F270" s="19"/>
      <c r="G270" s="16"/>
      <c r="H270" s="22"/>
      <c r="I270" s="25"/>
      <c r="J270" s="22"/>
      <c r="K270" s="25"/>
      <c r="L270" s="22"/>
      <c r="M270" s="25"/>
      <c r="N270" s="19"/>
      <c r="O270" s="19"/>
      <c r="P270" s="16"/>
      <c r="Q270" s="19"/>
      <c r="R270" s="16"/>
      <c r="S270" s="25"/>
      <c r="T270" s="22"/>
      <c r="U270" s="25"/>
      <c r="V270" s="22"/>
      <c r="W270" s="25"/>
    </row>
    <row r="271" spans="1:23" x14ac:dyDescent="0.2">
      <c r="A271" s="6"/>
      <c r="B271" s="19"/>
      <c r="C271" s="16"/>
      <c r="D271" s="19"/>
      <c r="E271" s="16"/>
      <c r="F271" s="19"/>
      <c r="G271" s="16"/>
      <c r="H271" s="22"/>
      <c r="I271" s="25"/>
      <c r="J271" s="22"/>
      <c r="K271" s="25"/>
      <c r="L271" s="22"/>
      <c r="M271" s="25"/>
      <c r="N271" s="19"/>
      <c r="O271" s="19"/>
      <c r="P271" s="16"/>
      <c r="Q271" s="19"/>
      <c r="R271" s="16"/>
      <c r="S271" s="25"/>
      <c r="T271" s="22"/>
      <c r="U271" s="25"/>
      <c r="V271" s="22"/>
      <c r="W271" s="25"/>
    </row>
    <row r="272" spans="1:23" x14ac:dyDescent="0.2">
      <c r="A272" s="6"/>
      <c r="B272" s="19"/>
      <c r="C272" s="16"/>
      <c r="D272" s="19"/>
      <c r="E272" s="16"/>
      <c r="F272" s="19"/>
      <c r="G272" s="16"/>
      <c r="H272" s="22"/>
      <c r="I272" s="25"/>
      <c r="J272" s="22"/>
      <c r="K272" s="25"/>
      <c r="L272" s="22"/>
      <c r="M272" s="25"/>
      <c r="N272" s="19"/>
      <c r="O272" s="19"/>
      <c r="P272" s="16"/>
      <c r="Q272" s="19"/>
      <c r="R272" s="16"/>
      <c r="S272" s="25"/>
      <c r="T272" s="22"/>
      <c r="U272" s="25"/>
      <c r="V272" s="22"/>
      <c r="W272" s="25"/>
    </row>
    <row r="273" spans="1:23" x14ac:dyDescent="0.2">
      <c r="A273" s="6"/>
      <c r="B273" s="19"/>
      <c r="C273" s="16"/>
      <c r="D273" s="19"/>
      <c r="E273" s="16"/>
      <c r="F273" s="19"/>
      <c r="G273" s="16"/>
      <c r="H273" s="22"/>
      <c r="I273" s="25"/>
      <c r="J273" s="22"/>
      <c r="K273" s="25"/>
      <c r="L273" s="22"/>
      <c r="M273" s="25"/>
      <c r="N273" s="19"/>
      <c r="O273" s="19"/>
      <c r="P273" s="16"/>
      <c r="Q273" s="19"/>
      <c r="R273" s="16"/>
      <c r="S273" s="25"/>
      <c r="T273" s="22"/>
      <c r="U273" s="25"/>
      <c r="V273" s="22"/>
      <c r="W273" s="25"/>
    </row>
    <row r="274" spans="1:23" x14ac:dyDescent="0.2">
      <c r="A274" s="6"/>
      <c r="B274" s="19"/>
      <c r="C274" s="16"/>
      <c r="D274" s="19"/>
      <c r="E274" s="16"/>
      <c r="F274" s="19"/>
      <c r="G274" s="16"/>
      <c r="H274" s="22"/>
      <c r="I274" s="25"/>
      <c r="J274" s="22"/>
      <c r="K274" s="25"/>
      <c r="L274" s="22"/>
      <c r="M274" s="25"/>
      <c r="N274" s="19"/>
      <c r="O274" s="19"/>
      <c r="P274" s="16"/>
      <c r="Q274" s="19"/>
      <c r="R274" s="16"/>
      <c r="S274" s="25"/>
      <c r="T274" s="22"/>
      <c r="U274" s="25"/>
      <c r="V274" s="22"/>
      <c r="W274" s="25"/>
    </row>
    <row r="275" spans="1:23" x14ac:dyDescent="0.2">
      <c r="A275" s="6"/>
      <c r="B275" s="19"/>
      <c r="C275" s="16"/>
      <c r="D275" s="19"/>
      <c r="E275" s="16"/>
      <c r="F275" s="19"/>
      <c r="G275" s="16"/>
      <c r="H275" s="22"/>
      <c r="I275" s="25"/>
      <c r="J275" s="22"/>
      <c r="K275" s="25"/>
      <c r="L275" s="22"/>
      <c r="M275" s="25"/>
      <c r="N275" s="19"/>
      <c r="O275" s="19"/>
      <c r="P275" s="16"/>
      <c r="Q275" s="19"/>
      <c r="R275" s="16"/>
      <c r="S275" s="25"/>
      <c r="T275" s="22"/>
      <c r="U275" s="25"/>
      <c r="V275" s="22"/>
      <c r="W275" s="25"/>
    </row>
    <row r="276" spans="1:23" x14ac:dyDescent="0.2">
      <c r="A276" s="6"/>
      <c r="B276" s="19"/>
      <c r="C276" s="16"/>
      <c r="D276" s="19"/>
      <c r="E276" s="16"/>
      <c r="F276" s="19"/>
      <c r="G276" s="16"/>
      <c r="H276" s="22"/>
      <c r="I276" s="25"/>
      <c r="J276" s="22"/>
      <c r="K276" s="25"/>
      <c r="L276" s="22"/>
      <c r="M276" s="25"/>
      <c r="N276" s="19"/>
      <c r="O276" s="19"/>
      <c r="P276" s="16"/>
      <c r="Q276" s="19"/>
      <c r="R276" s="16"/>
      <c r="S276" s="25"/>
      <c r="T276" s="22"/>
      <c r="U276" s="25"/>
      <c r="V276" s="22"/>
      <c r="W276" s="25"/>
    </row>
    <row r="277" spans="1:23" x14ac:dyDescent="0.2">
      <c r="A277" s="6"/>
      <c r="B277" s="19"/>
      <c r="C277" s="16"/>
      <c r="D277" s="19"/>
      <c r="E277" s="16"/>
      <c r="F277" s="19"/>
      <c r="G277" s="16"/>
      <c r="H277" s="22"/>
      <c r="I277" s="25"/>
      <c r="J277" s="22"/>
      <c r="K277" s="25"/>
      <c r="L277" s="22"/>
      <c r="M277" s="25"/>
      <c r="N277" s="19"/>
      <c r="O277" s="19"/>
      <c r="P277" s="16"/>
      <c r="Q277" s="19"/>
      <c r="R277" s="16"/>
      <c r="S277" s="25"/>
      <c r="T277" s="22"/>
      <c r="U277" s="25"/>
      <c r="V277" s="22"/>
      <c r="W277" s="25"/>
    </row>
    <row r="278" spans="1:23" x14ac:dyDescent="0.2">
      <c r="A278" s="6"/>
      <c r="B278" s="19"/>
      <c r="C278" s="16"/>
      <c r="D278" s="19"/>
      <c r="E278" s="16"/>
      <c r="F278" s="19"/>
      <c r="G278" s="16"/>
      <c r="H278" s="22"/>
      <c r="I278" s="25"/>
      <c r="J278" s="22"/>
      <c r="K278" s="25"/>
      <c r="L278" s="22"/>
      <c r="M278" s="25"/>
      <c r="N278" s="19"/>
      <c r="O278" s="19"/>
      <c r="P278" s="16"/>
      <c r="Q278" s="19"/>
      <c r="R278" s="16"/>
      <c r="S278" s="25"/>
      <c r="T278" s="22"/>
      <c r="U278" s="25"/>
      <c r="V278" s="22"/>
      <c r="W278" s="25"/>
    </row>
    <row r="279" spans="1:23" x14ac:dyDescent="0.2">
      <c r="A279" s="6"/>
      <c r="B279" s="19"/>
      <c r="C279" s="16"/>
      <c r="D279" s="19"/>
      <c r="E279" s="16"/>
      <c r="F279" s="19"/>
      <c r="G279" s="16"/>
      <c r="H279" s="22"/>
      <c r="I279" s="25"/>
      <c r="J279" s="22"/>
      <c r="K279" s="25"/>
      <c r="L279" s="22"/>
      <c r="M279" s="25"/>
      <c r="N279" s="19"/>
      <c r="O279" s="19"/>
      <c r="P279" s="16"/>
      <c r="Q279" s="19"/>
      <c r="R279" s="16"/>
      <c r="S279" s="25"/>
      <c r="T279" s="22"/>
      <c r="U279" s="25"/>
      <c r="V279" s="22"/>
      <c r="W279" s="25"/>
    </row>
    <row r="280" spans="1:23" x14ac:dyDescent="0.2">
      <c r="A280" s="6"/>
      <c r="B280" s="19"/>
      <c r="C280" s="16"/>
      <c r="D280" s="19"/>
      <c r="E280" s="16"/>
      <c r="F280" s="19"/>
      <c r="G280" s="16"/>
      <c r="H280" s="22"/>
      <c r="I280" s="25"/>
      <c r="J280" s="22"/>
      <c r="K280" s="25"/>
      <c r="L280" s="22"/>
      <c r="M280" s="25"/>
      <c r="N280" s="19"/>
      <c r="O280" s="19"/>
      <c r="P280" s="16"/>
      <c r="Q280" s="19"/>
      <c r="R280" s="16"/>
      <c r="S280" s="25"/>
      <c r="T280" s="22"/>
      <c r="U280" s="25"/>
      <c r="V280" s="22"/>
      <c r="W280" s="25"/>
    </row>
    <row r="281" spans="1:23" x14ac:dyDescent="0.2">
      <c r="A281" s="6"/>
      <c r="B281" s="19"/>
      <c r="C281" s="16"/>
      <c r="D281" s="19"/>
      <c r="E281" s="16"/>
      <c r="F281" s="19"/>
      <c r="G281" s="16"/>
      <c r="H281" s="22"/>
      <c r="I281" s="25"/>
      <c r="J281" s="22"/>
      <c r="K281" s="25"/>
      <c r="L281" s="22"/>
      <c r="M281" s="25"/>
      <c r="N281" s="19"/>
      <c r="O281" s="19"/>
      <c r="P281" s="16"/>
      <c r="Q281" s="19"/>
      <c r="R281" s="16"/>
      <c r="S281" s="25"/>
      <c r="T281" s="22"/>
      <c r="U281" s="25"/>
      <c r="V281" s="22"/>
      <c r="W281" s="25"/>
    </row>
    <row r="282" spans="1:23" x14ac:dyDescent="0.2">
      <c r="A282" s="6"/>
      <c r="B282" s="19"/>
      <c r="C282" s="16"/>
      <c r="D282" s="19"/>
      <c r="E282" s="16"/>
      <c r="F282" s="19"/>
      <c r="G282" s="16"/>
      <c r="H282" s="22"/>
      <c r="I282" s="25"/>
      <c r="J282" s="22"/>
      <c r="K282" s="25"/>
      <c r="L282" s="22"/>
      <c r="M282" s="25"/>
      <c r="N282" s="19"/>
      <c r="O282" s="19"/>
      <c r="P282" s="16"/>
      <c r="Q282" s="19"/>
      <c r="R282" s="16"/>
      <c r="S282" s="25"/>
      <c r="T282" s="22"/>
      <c r="U282" s="25"/>
      <c r="V282" s="22"/>
      <c r="W282" s="25"/>
    </row>
    <row r="283" spans="1:23" x14ac:dyDescent="0.2">
      <c r="A283" s="6"/>
      <c r="B283" s="19"/>
      <c r="C283" s="16"/>
      <c r="D283" s="19"/>
      <c r="E283" s="16"/>
      <c r="F283" s="19"/>
      <c r="G283" s="16"/>
      <c r="H283" s="22"/>
      <c r="I283" s="25"/>
      <c r="J283" s="22"/>
      <c r="K283" s="25"/>
      <c r="L283" s="22"/>
      <c r="M283" s="25"/>
      <c r="N283" s="19"/>
      <c r="O283" s="19"/>
      <c r="P283" s="16"/>
      <c r="Q283" s="19"/>
      <c r="R283" s="16"/>
      <c r="S283" s="25"/>
      <c r="T283" s="22"/>
      <c r="U283" s="25"/>
      <c r="V283" s="22"/>
      <c r="W283" s="25"/>
    </row>
    <row r="284" spans="1:23" x14ac:dyDescent="0.2">
      <c r="A284" s="6"/>
      <c r="B284" s="19"/>
      <c r="C284" s="16"/>
      <c r="D284" s="19"/>
      <c r="E284" s="16"/>
      <c r="F284" s="19"/>
      <c r="G284" s="16"/>
      <c r="H284" s="22"/>
      <c r="I284" s="25"/>
      <c r="J284" s="22"/>
      <c r="K284" s="25"/>
      <c r="L284" s="22"/>
      <c r="M284" s="25"/>
      <c r="N284" s="19"/>
      <c r="O284" s="19"/>
      <c r="P284" s="16"/>
      <c r="Q284" s="19"/>
      <c r="R284" s="16"/>
      <c r="S284" s="25"/>
      <c r="T284" s="22"/>
      <c r="U284" s="25"/>
      <c r="V284" s="22"/>
      <c r="W284" s="25"/>
    </row>
    <row r="285" spans="1:23" x14ac:dyDescent="0.2">
      <c r="A285" s="6"/>
      <c r="B285" s="19"/>
      <c r="C285" s="16"/>
      <c r="D285" s="19"/>
      <c r="E285" s="16"/>
      <c r="F285" s="19"/>
      <c r="G285" s="16"/>
      <c r="H285" s="22"/>
      <c r="I285" s="25"/>
      <c r="J285" s="22"/>
      <c r="K285" s="25"/>
      <c r="L285" s="22"/>
      <c r="M285" s="25"/>
      <c r="N285" s="19"/>
      <c r="O285" s="19"/>
      <c r="P285" s="16"/>
      <c r="Q285" s="19"/>
      <c r="R285" s="16"/>
      <c r="S285" s="25"/>
      <c r="T285" s="22"/>
      <c r="U285" s="25"/>
      <c r="V285" s="22"/>
      <c r="W285" s="25"/>
    </row>
    <row r="286" spans="1:23" x14ac:dyDescent="0.2">
      <c r="A286" s="6"/>
      <c r="B286" s="19"/>
      <c r="C286" s="16"/>
      <c r="D286" s="19"/>
      <c r="E286" s="16"/>
      <c r="F286" s="19"/>
      <c r="G286" s="16"/>
      <c r="H286" s="22"/>
      <c r="I286" s="25"/>
      <c r="J286" s="22"/>
      <c r="K286" s="25"/>
      <c r="L286" s="22"/>
      <c r="M286" s="25"/>
      <c r="N286" s="19"/>
      <c r="O286" s="19"/>
      <c r="P286" s="16"/>
      <c r="Q286" s="19"/>
      <c r="R286" s="16"/>
      <c r="S286" s="25"/>
      <c r="T286" s="22"/>
      <c r="U286" s="25"/>
      <c r="V286" s="22"/>
      <c r="W286" s="25"/>
    </row>
    <row r="287" spans="1:23" x14ac:dyDescent="0.2">
      <c r="A287" s="6"/>
      <c r="B287" s="19"/>
      <c r="C287" s="16"/>
      <c r="D287" s="19"/>
      <c r="E287" s="16"/>
      <c r="F287" s="19"/>
      <c r="G287" s="16"/>
      <c r="H287" s="22"/>
      <c r="I287" s="25"/>
      <c r="J287" s="22"/>
      <c r="K287" s="25"/>
      <c r="L287" s="22"/>
      <c r="M287" s="25"/>
      <c r="N287" s="19"/>
      <c r="O287" s="19"/>
      <c r="P287" s="16"/>
      <c r="Q287" s="19"/>
      <c r="R287" s="16"/>
      <c r="S287" s="25"/>
      <c r="T287" s="22"/>
      <c r="U287" s="25"/>
      <c r="V287" s="22"/>
      <c r="W287" s="25"/>
    </row>
    <row r="288" spans="1:23" x14ac:dyDescent="0.2">
      <c r="A288" s="6"/>
      <c r="B288" s="19"/>
      <c r="C288" s="16"/>
      <c r="D288" s="19"/>
      <c r="E288" s="16"/>
      <c r="F288" s="19"/>
      <c r="G288" s="16"/>
      <c r="H288" s="22"/>
      <c r="I288" s="25"/>
      <c r="J288" s="22"/>
      <c r="K288" s="25"/>
      <c r="L288" s="22"/>
      <c r="M288" s="25"/>
      <c r="N288" s="19"/>
      <c r="O288" s="19"/>
      <c r="P288" s="16"/>
      <c r="Q288" s="19"/>
      <c r="R288" s="16"/>
      <c r="S288" s="25"/>
      <c r="T288" s="22"/>
      <c r="U288" s="25"/>
      <c r="V288" s="22"/>
      <c r="W288" s="25"/>
    </row>
    <row r="289" spans="1:23" x14ac:dyDescent="0.2">
      <c r="A289" s="6"/>
      <c r="B289" s="19"/>
      <c r="C289" s="16"/>
      <c r="D289" s="19"/>
      <c r="E289" s="16"/>
      <c r="F289" s="19"/>
      <c r="G289" s="16"/>
      <c r="H289" s="22"/>
      <c r="I289" s="25"/>
      <c r="J289" s="22"/>
      <c r="K289" s="25"/>
      <c r="L289" s="22"/>
      <c r="M289" s="25"/>
      <c r="N289" s="19"/>
      <c r="O289" s="19"/>
      <c r="P289" s="16"/>
      <c r="Q289" s="19"/>
      <c r="R289" s="16"/>
      <c r="S289" s="25"/>
      <c r="T289" s="22"/>
      <c r="U289" s="25"/>
      <c r="V289" s="22"/>
      <c r="W289" s="25"/>
    </row>
    <row r="290" spans="1:23" x14ac:dyDescent="0.2">
      <c r="A290" s="6"/>
      <c r="B290" s="19"/>
      <c r="C290" s="16"/>
      <c r="D290" s="19"/>
      <c r="E290" s="16"/>
      <c r="F290" s="19"/>
      <c r="G290" s="16"/>
      <c r="H290" s="22"/>
      <c r="I290" s="25"/>
      <c r="J290" s="22"/>
      <c r="K290" s="25"/>
      <c r="L290" s="22"/>
      <c r="M290" s="25"/>
      <c r="N290" s="19"/>
      <c r="O290" s="19"/>
      <c r="P290" s="16"/>
      <c r="Q290" s="19"/>
      <c r="R290" s="16"/>
      <c r="S290" s="25"/>
      <c r="T290" s="22"/>
      <c r="U290" s="25"/>
      <c r="V290" s="22"/>
      <c r="W290" s="25"/>
    </row>
    <row r="291" spans="1:23" x14ac:dyDescent="0.2">
      <c r="A291" s="6"/>
      <c r="B291" s="19"/>
      <c r="C291" s="16"/>
      <c r="D291" s="19"/>
      <c r="E291" s="16"/>
      <c r="F291" s="19"/>
      <c r="G291" s="16"/>
      <c r="H291" s="22"/>
      <c r="I291" s="25"/>
      <c r="J291" s="22"/>
      <c r="K291" s="25"/>
      <c r="L291" s="22"/>
      <c r="M291" s="25"/>
      <c r="N291" s="19"/>
      <c r="O291" s="19"/>
      <c r="P291" s="16"/>
      <c r="Q291" s="19"/>
      <c r="R291" s="16"/>
      <c r="S291" s="25"/>
      <c r="T291" s="22"/>
      <c r="U291" s="25"/>
      <c r="V291" s="22"/>
      <c r="W291" s="25"/>
    </row>
    <row r="292" spans="1:23" x14ac:dyDescent="0.2">
      <c r="A292" s="6"/>
      <c r="B292" s="19"/>
      <c r="C292" s="16"/>
      <c r="D292" s="19"/>
      <c r="E292" s="16"/>
      <c r="F292" s="19"/>
      <c r="G292" s="16"/>
      <c r="H292" s="22"/>
      <c r="I292" s="25"/>
      <c r="J292" s="22"/>
      <c r="K292" s="25"/>
      <c r="L292" s="22"/>
      <c r="M292" s="25"/>
      <c r="N292" s="19"/>
      <c r="O292" s="19"/>
      <c r="P292" s="16"/>
      <c r="Q292" s="19"/>
      <c r="R292" s="16"/>
      <c r="S292" s="25"/>
      <c r="T292" s="22"/>
      <c r="U292" s="25"/>
      <c r="V292" s="22"/>
      <c r="W292" s="25"/>
    </row>
    <row r="293" spans="1:23" x14ac:dyDescent="0.2">
      <c r="A293" s="6"/>
      <c r="B293" s="19"/>
      <c r="C293" s="16"/>
      <c r="D293" s="19"/>
      <c r="E293" s="16"/>
      <c r="F293" s="19"/>
      <c r="G293" s="16"/>
      <c r="H293" s="22"/>
      <c r="I293" s="25"/>
      <c r="J293" s="22"/>
      <c r="K293" s="25"/>
      <c r="L293" s="22"/>
      <c r="M293" s="25"/>
      <c r="N293" s="19"/>
      <c r="O293" s="19"/>
      <c r="P293" s="16"/>
      <c r="Q293" s="19"/>
      <c r="R293" s="16"/>
      <c r="S293" s="25"/>
      <c r="T293" s="22"/>
      <c r="U293" s="25"/>
      <c r="V293" s="22"/>
      <c r="W293" s="25"/>
    </row>
    <row r="294" spans="1:23" x14ac:dyDescent="0.2">
      <c r="A294" s="6"/>
      <c r="B294" s="19"/>
      <c r="C294" s="16"/>
      <c r="D294" s="19"/>
      <c r="E294" s="16"/>
      <c r="F294" s="19"/>
      <c r="G294" s="16"/>
      <c r="H294" s="22"/>
      <c r="I294" s="25"/>
      <c r="J294" s="22"/>
      <c r="K294" s="25"/>
      <c r="L294" s="22"/>
      <c r="M294" s="25"/>
      <c r="N294" s="19"/>
      <c r="O294" s="19"/>
      <c r="P294" s="16"/>
      <c r="Q294" s="19"/>
      <c r="R294" s="16"/>
      <c r="S294" s="25"/>
      <c r="T294" s="22"/>
      <c r="U294" s="25"/>
      <c r="V294" s="22"/>
      <c r="W294" s="25"/>
    </row>
    <row r="295" spans="1:23" x14ac:dyDescent="0.2">
      <c r="A295" s="6"/>
      <c r="B295" s="19"/>
      <c r="C295" s="16"/>
      <c r="D295" s="19"/>
      <c r="E295" s="16"/>
      <c r="F295" s="19"/>
      <c r="G295" s="16"/>
      <c r="H295" s="22"/>
      <c r="I295" s="25"/>
      <c r="J295" s="22"/>
      <c r="K295" s="25"/>
      <c r="L295" s="22"/>
      <c r="M295" s="25"/>
      <c r="N295" s="19"/>
      <c r="O295" s="19"/>
      <c r="P295" s="16"/>
      <c r="Q295" s="19"/>
      <c r="R295" s="16"/>
      <c r="S295" s="25"/>
      <c r="T295" s="22"/>
      <c r="U295" s="25"/>
      <c r="V295" s="22"/>
      <c r="W295" s="25"/>
    </row>
    <row r="296" spans="1:23" x14ac:dyDescent="0.2">
      <c r="A296" s="6"/>
      <c r="B296" s="19"/>
      <c r="C296" s="16"/>
      <c r="D296" s="19"/>
      <c r="E296" s="16"/>
      <c r="F296" s="19"/>
      <c r="G296" s="16"/>
      <c r="H296" s="22"/>
      <c r="I296" s="25"/>
      <c r="J296" s="22"/>
      <c r="K296" s="25"/>
      <c r="L296" s="22"/>
      <c r="M296" s="25"/>
      <c r="N296" s="19"/>
      <c r="O296" s="19"/>
      <c r="P296" s="16"/>
      <c r="Q296" s="19"/>
      <c r="R296" s="16"/>
      <c r="S296" s="25"/>
      <c r="T296" s="22"/>
      <c r="U296" s="25"/>
      <c r="V296" s="22"/>
      <c r="W296" s="25"/>
    </row>
    <row r="297" spans="1:23" x14ac:dyDescent="0.2">
      <c r="A297" s="6"/>
      <c r="B297" s="19"/>
      <c r="C297" s="16"/>
      <c r="D297" s="19"/>
      <c r="E297" s="16"/>
      <c r="F297" s="19"/>
      <c r="G297" s="16"/>
      <c r="H297" s="22"/>
      <c r="I297" s="25"/>
      <c r="J297" s="22"/>
      <c r="K297" s="25"/>
      <c r="L297" s="22"/>
      <c r="M297" s="25"/>
      <c r="N297" s="19"/>
      <c r="O297" s="19"/>
      <c r="P297" s="16"/>
      <c r="Q297" s="19"/>
      <c r="R297" s="16"/>
      <c r="S297" s="25"/>
      <c r="T297" s="22"/>
      <c r="U297" s="25"/>
      <c r="V297" s="22"/>
      <c r="W297" s="25"/>
    </row>
    <row r="298" spans="1:23" x14ac:dyDescent="0.2">
      <c r="A298" s="6"/>
      <c r="B298" s="19"/>
      <c r="C298" s="16"/>
      <c r="D298" s="19"/>
      <c r="E298" s="16"/>
      <c r="F298" s="19"/>
      <c r="G298" s="16"/>
      <c r="H298" s="22"/>
      <c r="I298" s="25"/>
      <c r="J298" s="22"/>
      <c r="K298" s="25"/>
      <c r="L298" s="22"/>
      <c r="M298" s="25"/>
      <c r="N298" s="19"/>
      <c r="O298" s="19"/>
      <c r="P298" s="16"/>
      <c r="Q298" s="19"/>
      <c r="R298" s="16"/>
      <c r="S298" s="25"/>
      <c r="T298" s="22"/>
      <c r="U298" s="25"/>
      <c r="V298" s="22"/>
      <c r="W298" s="25"/>
    </row>
    <row r="299" spans="1:23" x14ac:dyDescent="0.2">
      <c r="A299" s="6"/>
      <c r="B299" s="19"/>
      <c r="C299" s="16"/>
      <c r="D299" s="19"/>
      <c r="E299" s="16"/>
      <c r="F299" s="19"/>
      <c r="G299" s="16"/>
      <c r="H299" s="22"/>
      <c r="I299" s="25"/>
      <c r="J299" s="22"/>
      <c r="K299" s="25"/>
      <c r="L299" s="22"/>
      <c r="M299" s="25"/>
      <c r="N299" s="19"/>
      <c r="O299" s="19"/>
      <c r="P299" s="16"/>
      <c r="Q299" s="19"/>
      <c r="R299" s="16"/>
      <c r="S299" s="25"/>
      <c r="T299" s="22"/>
      <c r="U299" s="25"/>
      <c r="V299" s="22"/>
      <c r="W299" s="25"/>
    </row>
    <row r="300" spans="1:23" x14ac:dyDescent="0.2">
      <c r="A300" s="6"/>
      <c r="B300" s="19"/>
      <c r="C300" s="16"/>
      <c r="D300" s="19"/>
      <c r="E300" s="16"/>
      <c r="F300" s="19"/>
      <c r="G300" s="16"/>
      <c r="H300" s="22"/>
      <c r="I300" s="25"/>
      <c r="J300" s="22"/>
      <c r="K300" s="25"/>
      <c r="L300" s="22"/>
      <c r="M300" s="25"/>
      <c r="N300" s="19"/>
      <c r="O300" s="19"/>
      <c r="P300" s="16"/>
      <c r="Q300" s="19"/>
      <c r="R300" s="16"/>
      <c r="S300" s="25"/>
      <c r="T300" s="22"/>
      <c r="U300" s="25"/>
      <c r="V300" s="22"/>
      <c r="W300" s="25"/>
    </row>
    <row r="301" spans="1:23" x14ac:dyDescent="0.2">
      <c r="A301" s="6"/>
      <c r="B301" s="19"/>
      <c r="C301" s="16"/>
      <c r="D301" s="19"/>
      <c r="E301" s="16"/>
      <c r="F301" s="19"/>
      <c r="G301" s="16"/>
      <c r="H301" s="22"/>
      <c r="I301" s="25"/>
      <c r="J301" s="22"/>
      <c r="K301" s="25"/>
      <c r="L301" s="22"/>
      <c r="M301" s="25"/>
      <c r="N301" s="19"/>
      <c r="O301" s="19"/>
      <c r="P301" s="16"/>
      <c r="Q301" s="19"/>
      <c r="R301" s="16"/>
      <c r="S301" s="25"/>
      <c r="T301" s="22"/>
      <c r="U301" s="25"/>
      <c r="V301" s="22"/>
      <c r="W301" s="25"/>
    </row>
    <row r="302" spans="1:23" x14ac:dyDescent="0.2">
      <c r="A302" s="6"/>
      <c r="B302" s="19"/>
      <c r="C302" s="16"/>
      <c r="D302" s="19"/>
      <c r="E302" s="16"/>
      <c r="F302" s="19"/>
      <c r="G302" s="16"/>
      <c r="H302" s="22"/>
      <c r="I302" s="25"/>
      <c r="J302" s="22"/>
      <c r="K302" s="25"/>
      <c r="L302" s="22"/>
      <c r="M302" s="25"/>
      <c r="N302" s="19"/>
      <c r="O302" s="19"/>
      <c r="P302" s="16"/>
      <c r="Q302" s="19"/>
      <c r="R302" s="16"/>
      <c r="S302" s="25"/>
      <c r="T302" s="22"/>
      <c r="U302" s="25"/>
      <c r="V302" s="22"/>
      <c r="W302" s="25"/>
    </row>
    <row r="303" spans="1:23" x14ac:dyDescent="0.2">
      <c r="A303" s="6"/>
      <c r="B303" s="19"/>
      <c r="C303" s="16"/>
      <c r="D303" s="19"/>
      <c r="E303" s="16"/>
      <c r="F303" s="19"/>
      <c r="G303" s="16"/>
      <c r="H303" s="22"/>
      <c r="I303" s="25"/>
      <c r="J303" s="22"/>
      <c r="K303" s="25"/>
      <c r="L303" s="22"/>
      <c r="M303" s="25"/>
      <c r="N303" s="19"/>
      <c r="O303" s="19"/>
      <c r="P303" s="16"/>
      <c r="Q303" s="19"/>
      <c r="R303" s="16"/>
      <c r="S303" s="25"/>
      <c r="T303" s="22"/>
      <c r="U303" s="25"/>
      <c r="V303" s="22"/>
      <c r="W303" s="25"/>
    </row>
    <row r="304" spans="1:23" x14ac:dyDescent="0.2">
      <c r="A304" s="6"/>
      <c r="B304" s="19"/>
      <c r="C304" s="16"/>
      <c r="D304" s="19"/>
      <c r="E304" s="16"/>
      <c r="F304" s="19"/>
      <c r="G304" s="16"/>
      <c r="H304" s="22"/>
      <c r="I304" s="25"/>
      <c r="J304" s="22"/>
      <c r="K304" s="25"/>
      <c r="L304" s="22"/>
      <c r="M304" s="25"/>
      <c r="N304" s="19"/>
      <c r="O304" s="19"/>
      <c r="P304" s="16"/>
      <c r="Q304" s="19"/>
      <c r="R304" s="16"/>
      <c r="S304" s="25"/>
      <c r="T304" s="22"/>
      <c r="U304" s="25"/>
      <c r="V304" s="22"/>
      <c r="W304" s="25"/>
    </row>
    <row r="305" spans="1:23" x14ac:dyDescent="0.2">
      <c r="A305" s="6"/>
      <c r="B305" s="19"/>
      <c r="C305" s="16"/>
      <c r="D305" s="19"/>
      <c r="E305" s="16"/>
      <c r="F305" s="19"/>
      <c r="G305" s="16"/>
      <c r="H305" s="22"/>
      <c r="I305" s="25"/>
      <c r="J305" s="22"/>
      <c r="K305" s="25"/>
      <c r="L305" s="22"/>
      <c r="M305" s="25"/>
      <c r="N305" s="19"/>
      <c r="O305" s="19"/>
      <c r="P305" s="16"/>
      <c r="Q305" s="19"/>
      <c r="R305" s="16"/>
      <c r="S305" s="25"/>
      <c r="T305" s="22"/>
      <c r="U305" s="25"/>
      <c r="V305" s="22"/>
      <c r="W305" s="25"/>
    </row>
    <row r="306" spans="1:23" x14ac:dyDescent="0.2">
      <c r="A306" s="6"/>
      <c r="B306" s="19"/>
      <c r="C306" s="16"/>
      <c r="D306" s="19"/>
      <c r="E306" s="16"/>
      <c r="F306" s="19"/>
      <c r="G306" s="16"/>
      <c r="H306" s="22"/>
      <c r="I306" s="25"/>
      <c r="J306" s="22"/>
      <c r="K306" s="25"/>
      <c r="L306" s="22"/>
      <c r="M306" s="25"/>
      <c r="N306" s="19"/>
      <c r="O306" s="19"/>
      <c r="P306" s="16"/>
      <c r="Q306" s="19"/>
      <c r="R306" s="16"/>
      <c r="S306" s="25"/>
      <c r="T306" s="22"/>
      <c r="U306" s="25"/>
      <c r="V306" s="22"/>
      <c r="W306" s="25"/>
    </row>
    <row r="307" spans="1:23" x14ac:dyDescent="0.2">
      <c r="A307" s="6"/>
      <c r="B307" s="19"/>
      <c r="C307" s="16"/>
      <c r="D307" s="19"/>
      <c r="E307" s="16"/>
      <c r="F307" s="19"/>
      <c r="G307" s="16"/>
      <c r="H307" s="22"/>
      <c r="I307" s="25"/>
      <c r="J307" s="22"/>
      <c r="K307" s="25"/>
      <c r="L307" s="22"/>
      <c r="M307" s="25"/>
      <c r="N307" s="19"/>
      <c r="O307" s="19"/>
      <c r="P307" s="16"/>
      <c r="Q307" s="19"/>
      <c r="R307" s="16"/>
      <c r="S307" s="25"/>
      <c r="T307" s="22"/>
      <c r="U307" s="25"/>
      <c r="V307" s="22"/>
      <c r="W307" s="25"/>
    </row>
    <row r="308" spans="1:23" x14ac:dyDescent="0.2">
      <c r="A308" s="6"/>
      <c r="B308" s="19"/>
      <c r="C308" s="16"/>
      <c r="D308" s="19"/>
      <c r="E308" s="16"/>
      <c r="F308" s="19"/>
      <c r="G308" s="16"/>
      <c r="H308" s="22"/>
      <c r="I308" s="25"/>
      <c r="J308" s="22"/>
      <c r="K308" s="25"/>
      <c r="L308" s="22"/>
      <c r="M308" s="25"/>
      <c r="N308" s="19"/>
      <c r="O308" s="19"/>
      <c r="P308" s="16"/>
      <c r="Q308" s="19"/>
      <c r="R308" s="16"/>
      <c r="S308" s="25"/>
      <c r="T308" s="22"/>
      <c r="U308" s="25"/>
      <c r="V308" s="22"/>
      <c r="W308" s="25"/>
    </row>
    <row r="309" spans="1:23" x14ac:dyDescent="0.2">
      <c r="A309" s="6"/>
      <c r="B309" s="19"/>
      <c r="C309" s="16"/>
      <c r="D309" s="19"/>
      <c r="E309" s="16"/>
      <c r="F309" s="19"/>
      <c r="G309" s="16"/>
      <c r="H309" s="22"/>
      <c r="I309" s="25"/>
      <c r="J309" s="22"/>
      <c r="K309" s="25"/>
      <c r="L309" s="22"/>
      <c r="M309" s="25"/>
      <c r="N309" s="19"/>
      <c r="O309" s="19"/>
      <c r="P309" s="16"/>
      <c r="Q309" s="19"/>
      <c r="R309" s="16"/>
      <c r="S309" s="25"/>
      <c r="T309" s="22"/>
      <c r="U309" s="25"/>
      <c r="V309" s="22"/>
      <c r="W309" s="25"/>
    </row>
    <row r="310" spans="1:23" x14ac:dyDescent="0.2">
      <c r="A310" s="6"/>
      <c r="B310" s="19"/>
      <c r="C310" s="16"/>
      <c r="D310" s="19"/>
      <c r="E310" s="16"/>
      <c r="F310" s="19"/>
      <c r="G310" s="16"/>
      <c r="H310" s="22"/>
      <c r="I310" s="25"/>
      <c r="J310" s="22"/>
      <c r="K310" s="25"/>
      <c r="L310" s="22"/>
      <c r="M310" s="25"/>
      <c r="N310" s="19"/>
      <c r="O310" s="19"/>
      <c r="P310" s="16"/>
      <c r="Q310" s="19"/>
      <c r="R310" s="16"/>
      <c r="S310" s="25"/>
      <c r="T310" s="22"/>
      <c r="U310" s="25"/>
      <c r="V310" s="22"/>
      <c r="W310" s="25"/>
    </row>
    <row r="311" spans="1:23" x14ac:dyDescent="0.2">
      <c r="A311" s="6"/>
      <c r="B311" s="19"/>
      <c r="C311" s="16"/>
      <c r="D311" s="19"/>
      <c r="E311" s="16"/>
      <c r="F311" s="19"/>
      <c r="G311" s="16"/>
      <c r="H311" s="22"/>
      <c r="I311" s="25"/>
      <c r="J311" s="22"/>
      <c r="K311" s="25"/>
      <c r="L311" s="22"/>
      <c r="M311" s="25"/>
      <c r="N311" s="19"/>
      <c r="O311" s="19"/>
      <c r="P311" s="16"/>
      <c r="Q311" s="19"/>
      <c r="R311" s="16"/>
      <c r="S311" s="25"/>
      <c r="T311" s="22"/>
      <c r="U311" s="25"/>
      <c r="V311" s="22"/>
      <c r="W311" s="25"/>
    </row>
    <row r="312" spans="1:23" x14ac:dyDescent="0.2">
      <c r="A312" s="6"/>
      <c r="B312" s="19"/>
      <c r="C312" s="16"/>
      <c r="D312" s="19"/>
      <c r="E312" s="16"/>
      <c r="F312" s="19"/>
      <c r="G312" s="16"/>
      <c r="H312" s="22"/>
      <c r="I312" s="25"/>
      <c r="J312" s="22"/>
      <c r="K312" s="25"/>
      <c r="L312" s="22"/>
      <c r="M312" s="25"/>
      <c r="N312" s="19"/>
      <c r="O312" s="19"/>
      <c r="P312" s="16"/>
      <c r="Q312" s="19"/>
      <c r="R312" s="16"/>
      <c r="S312" s="25"/>
      <c r="T312" s="22"/>
      <c r="U312" s="25"/>
      <c r="V312" s="22"/>
      <c r="W312" s="25"/>
    </row>
    <row r="313" spans="1:23" x14ac:dyDescent="0.2">
      <c r="A313" s="6"/>
      <c r="B313" s="19"/>
      <c r="C313" s="16"/>
      <c r="D313" s="19"/>
      <c r="E313" s="16"/>
      <c r="F313" s="19"/>
      <c r="G313" s="16"/>
      <c r="H313" s="22"/>
      <c r="I313" s="25"/>
      <c r="J313" s="22"/>
      <c r="K313" s="25"/>
      <c r="L313" s="22"/>
      <c r="M313" s="25"/>
      <c r="N313" s="19"/>
      <c r="O313" s="19"/>
      <c r="P313" s="16"/>
      <c r="Q313" s="19"/>
      <c r="R313" s="16"/>
      <c r="S313" s="25"/>
      <c r="T313" s="22"/>
      <c r="U313" s="25"/>
      <c r="V313" s="22"/>
      <c r="W313" s="25"/>
    </row>
    <row r="314" spans="1:23" x14ac:dyDescent="0.2">
      <c r="A314" s="6"/>
      <c r="B314" s="19"/>
      <c r="C314" s="16"/>
      <c r="D314" s="19"/>
      <c r="E314" s="16"/>
      <c r="F314" s="19"/>
      <c r="G314" s="16"/>
      <c r="H314" s="22"/>
      <c r="I314" s="25"/>
      <c r="J314" s="22"/>
      <c r="K314" s="25"/>
      <c r="L314" s="22"/>
      <c r="M314" s="25"/>
      <c r="N314" s="19"/>
      <c r="O314" s="19"/>
      <c r="P314" s="16"/>
      <c r="Q314" s="19"/>
      <c r="R314" s="16"/>
      <c r="S314" s="25"/>
      <c r="T314" s="22"/>
      <c r="U314" s="25"/>
      <c r="V314" s="22"/>
      <c r="W314" s="25"/>
    </row>
    <row r="315" spans="1:23" x14ac:dyDescent="0.2">
      <c r="A315" s="6"/>
      <c r="B315" s="19"/>
      <c r="C315" s="16"/>
      <c r="D315" s="19"/>
      <c r="E315" s="16"/>
      <c r="F315" s="19"/>
      <c r="G315" s="16"/>
      <c r="H315" s="22"/>
      <c r="I315" s="25"/>
      <c r="J315" s="22"/>
      <c r="K315" s="25"/>
      <c r="L315" s="22"/>
      <c r="M315" s="25"/>
      <c r="N315" s="19"/>
      <c r="O315" s="19"/>
      <c r="P315" s="16"/>
      <c r="Q315" s="19"/>
      <c r="R315" s="16"/>
      <c r="S315" s="25"/>
      <c r="T315" s="22"/>
      <c r="U315" s="25"/>
      <c r="V315" s="22"/>
      <c r="W315" s="25"/>
    </row>
    <row r="316" spans="1:23" x14ac:dyDescent="0.2">
      <c r="A316" s="6"/>
      <c r="B316" s="19"/>
      <c r="C316" s="16"/>
      <c r="D316" s="19"/>
      <c r="E316" s="16"/>
      <c r="F316" s="19"/>
      <c r="G316" s="16"/>
      <c r="H316" s="22"/>
      <c r="I316" s="25"/>
      <c r="J316" s="22"/>
      <c r="K316" s="25"/>
      <c r="L316" s="22"/>
      <c r="M316" s="25"/>
      <c r="N316" s="19"/>
      <c r="O316" s="19"/>
      <c r="P316" s="16"/>
      <c r="Q316" s="19"/>
      <c r="R316" s="16"/>
      <c r="S316" s="25"/>
      <c r="T316" s="22"/>
      <c r="U316" s="25"/>
      <c r="V316" s="22"/>
      <c r="W316" s="25"/>
    </row>
    <row r="317" spans="1:23" x14ac:dyDescent="0.2">
      <c r="A317" s="6"/>
      <c r="B317" s="19"/>
      <c r="C317" s="16"/>
      <c r="D317" s="19"/>
      <c r="E317" s="16"/>
      <c r="F317" s="19"/>
      <c r="G317" s="16"/>
      <c r="H317" s="22"/>
      <c r="I317" s="25"/>
      <c r="J317" s="22"/>
      <c r="K317" s="25"/>
      <c r="L317" s="22"/>
      <c r="M317" s="25"/>
      <c r="N317" s="19"/>
      <c r="O317" s="19"/>
      <c r="P317" s="16"/>
      <c r="Q317" s="19"/>
      <c r="R317" s="16"/>
      <c r="S317" s="25"/>
      <c r="T317" s="22"/>
      <c r="U317" s="25"/>
      <c r="V317" s="22"/>
      <c r="W317" s="25"/>
    </row>
    <row r="318" spans="1:23" x14ac:dyDescent="0.2">
      <c r="A318" s="6"/>
      <c r="B318" s="19"/>
      <c r="C318" s="16"/>
      <c r="D318" s="19"/>
      <c r="E318" s="16"/>
      <c r="F318" s="19"/>
      <c r="G318" s="16"/>
      <c r="H318" s="22"/>
      <c r="I318" s="25"/>
      <c r="J318" s="22"/>
      <c r="K318" s="25"/>
      <c r="L318" s="22"/>
      <c r="M318" s="25"/>
      <c r="N318" s="19"/>
      <c r="O318" s="19"/>
      <c r="P318" s="16"/>
      <c r="Q318" s="19"/>
      <c r="R318" s="16"/>
      <c r="S318" s="25"/>
      <c r="T318" s="22"/>
      <c r="U318" s="25"/>
      <c r="V318" s="22"/>
      <c r="W318" s="25"/>
    </row>
    <row r="319" spans="1:23" x14ac:dyDescent="0.2">
      <c r="A319" s="6"/>
      <c r="B319" s="19"/>
      <c r="C319" s="16"/>
      <c r="D319" s="19"/>
      <c r="E319" s="16"/>
      <c r="F319" s="19"/>
      <c r="G319" s="16"/>
      <c r="H319" s="22"/>
      <c r="I319" s="25"/>
      <c r="J319" s="22"/>
      <c r="K319" s="25"/>
      <c r="L319" s="22"/>
      <c r="M319" s="25"/>
      <c r="N319" s="19"/>
      <c r="O319" s="19"/>
      <c r="P319" s="16"/>
      <c r="Q319" s="19"/>
      <c r="R319" s="16"/>
      <c r="S319" s="25"/>
      <c r="T319" s="22"/>
      <c r="U319" s="25"/>
      <c r="V319" s="22"/>
      <c r="W319" s="25"/>
    </row>
    <row r="320" spans="1:23" x14ac:dyDescent="0.2">
      <c r="A320" s="6"/>
      <c r="B320" s="19"/>
      <c r="C320" s="16"/>
      <c r="D320" s="19"/>
      <c r="E320" s="16"/>
      <c r="F320" s="19"/>
      <c r="G320" s="16"/>
      <c r="H320" s="22"/>
      <c r="I320" s="25"/>
      <c r="J320" s="22"/>
      <c r="K320" s="25"/>
      <c r="L320" s="22"/>
      <c r="M320" s="25"/>
      <c r="N320" s="19"/>
      <c r="O320" s="19"/>
      <c r="P320" s="16"/>
      <c r="Q320" s="19"/>
      <c r="R320" s="16"/>
      <c r="S320" s="25"/>
      <c r="T320" s="22"/>
      <c r="U320" s="25"/>
      <c r="V320" s="22"/>
      <c r="W320" s="25"/>
    </row>
    <row r="321" spans="1:23" x14ac:dyDescent="0.2">
      <c r="A321" s="6"/>
      <c r="B321" s="19"/>
      <c r="C321" s="16"/>
      <c r="D321" s="19"/>
      <c r="E321" s="16"/>
      <c r="F321" s="19"/>
      <c r="G321" s="16"/>
      <c r="H321" s="22"/>
      <c r="I321" s="25"/>
      <c r="J321" s="22"/>
      <c r="K321" s="25"/>
      <c r="L321" s="22"/>
      <c r="M321" s="25"/>
      <c r="N321" s="19"/>
      <c r="O321" s="19"/>
      <c r="P321" s="16"/>
      <c r="Q321" s="19"/>
      <c r="R321" s="16"/>
      <c r="S321" s="25"/>
      <c r="T321" s="22"/>
      <c r="U321" s="25"/>
      <c r="V321" s="22"/>
      <c r="W321" s="25"/>
    </row>
    <row r="322" spans="1:23" x14ac:dyDescent="0.2">
      <c r="A322" s="6"/>
      <c r="B322" s="19"/>
      <c r="C322" s="16"/>
      <c r="D322" s="19"/>
      <c r="E322" s="16"/>
      <c r="F322" s="19"/>
      <c r="G322" s="16"/>
      <c r="H322" s="22"/>
      <c r="I322" s="25"/>
      <c r="J322" s="22"/>
      <c r="K322" s="25"/>
      <c r="L322" s="22"/>
      <c r="M322" s="25"/>
      <c r="N322" s="19"/>
      <c r="O322" s="19"/>
      <c r="P322" s="16"/>
      <c r="Q322" s="19"/>
      <c r="R322" s="16"/>
      <c r="S322" s="25"/>
      <c r="T322" s="22"/>
      <c r="U322" s="25"/>
      <c r="V322" s="22"/>
      <c r="W322" s="25"/>
    </row>
    <row r="323" spans="1:23" x14ac:dyDescent="0.2">
      <c r="A323" s="6"/>
      <c r="B323" s="19"/>
      <c r="C323" s="16"/>
      <c r="D323" s="19"/>
      <c r="E323" s="16"/>
      <c r="F323" s="19"/>
      <c r="G323" s="16"/>
      <c r="H323" s="22"/>
      <c r="I323" s="25"/>
      <c r="J323" s="22"/>
      <c r="K323" s="25"/>
      <c r="L323" s="22"/>
      <c r="M323" s="25"/>
      <c r="N323" s="19"/>
      <c r="O323" s="19"/>
      <c r="P323" s="16"/>
      <c r="Q323" s="19"/>
      <c r="R323" s="16"/>
      <c r="S323" s="25"/>
      <c r="T323" s="22"/>
      <c r="U323" s="25"/>
      <c r="V323" s="22"/>
      <c r="W323" s="25"/>
    </row>
    <row r="324" spans="1:23" x14ac:dyDescent="0.2">
      <c r="A324" s="6"/>
      <c r="B324" s="19"/>
      <c r="C324" s="16"/>
      <c r="D324" s="19"/>
      <c r="E324" s="16"/>
      <c r="F324" s="19"/>
      <c r="G324" s="16"/>
      <c r="H324" s="22"/>
      <c r="I324" s="25"/>
      <c r="J324" s="22"/>
      <c r="K324" s="25"/>
      <c r="L324" s="22"/>
      <c r="M324" s="25"/>
      <c r="N324" s="19"/>
      <c r="O324" s="19"/>
      <c r="P324" s="16"/>
      <c r="Q324" s="19"/>
      <c r="R324" s="16"/>
      <c r="S324" s="25"/>
      <c r="T324" s="22"/>
      <c r="U324" s="25"/>
      <c r="V324" s="22"/>
      <c r="W324" s="25"/>
    </row>
    <row r="325" spans="1:23" x14ac:dyDescent="0.2">
      <c r="A325" s="6"/>
      <c r="B325" s="19"/>
      <c r="C325" s="16"/>
      <c r="D325" s="19"/>
      <c r="E325" s="16"/>
      <c r="F325" s="19"/>
      <c r="G325" s="16"/>
      <c r="H325" s="22"/>
      <c r="I325" s="25"/>
      <c r="J325" s="22"/>
      <c r="K325" s="25"/>
      <c r="L325" s="22"/>
      <c r="M325" s="25"/>
      <c r="N325" s="19"/>
      <c r="O325" s="19"/>
      <c r="P325" s="16"/>
      <c r="Q325" s="19"/>
      <c r="R325" s="16"/>
      <c r="S325" s="25"/>
      <c r="T325" s="22"/>
      <c r="U325" s="25"/>
      <c r="V325" s="22"/>
      <c r="W325" s="25"/>
    </row>
    <row r="326" spans="1:23" x14ac:dyDescent="0.2">
      <c r="A326" s="6"/>
      <c r="B326" s="19"/>
      <c r="C326" s="16"/>
      <c r="D326" s="19"/>
      <c r="E326" s="16"/>
      <c r="F326" s="19"/>
      <c r="G326" s="16"/>
      <c r="H326" s="22"/>
      <c r="I326" s="25"/>
      <c r="J326" s="22"/>
      <c r="K326" s="25"/>
      <c r="L326" s="22"/>
      <c r="M326" s="25"/>
      <c r="N326" s="19"/>
      <c r="O326" s="19"/>
      <c r="P326" s="16"/>
      <c r="Q326" s="19"/>
      <c r="R326" s="16"/>
      <c r="S326" s="25"/>
      <c r="T326" s="22"/>
      <c r="U326" s="25"/>
      <c r="V326" s="22"/>
      <c r="W326" s="25"/>
    </row>
    <row r="327" spans="1:23" x14ac:dyDescent="0.2">
      <c r="A327" s="6"/>
      <c r="B327" s="19"/>
      <c r="C327" s="16"/>
      <c r="D327" s="19"/>
      <c r="E327" s="16"/>
      <c r="F327" s="19"/>
      <c r="G327" s="16"/>
      <c r="H327" s="22"/>
      <c r="I327" s="25"/>
      <c r="J327" s="22"/>
      <c r="K327" s="25"/>
      <c r="L327" s="22"/>
      <c r="M327" s="25"/>
      <c r="N327" s="19"/>
      <c r="O327" s="19"/>
      <c r="P327" s="16"/>
      <c r="Q327" s="19"/>
      <c r="R327" s="16"/>
      <c r="S327" s="25"/>
      <c r="T327" s="22"/>
      <c r="U327" s="25"/>
      <c r="V327" s="22"/>
      <c r="W327" s="25"/>
    </row>
    <row r="328" spans="1:23" x14ac:dyDescent="0.2">
      <c r="A328" s="6"/>
      <c r="B328" s="19"/>
      <c r="C328" s="16"/>
      <c r="D328" s="19"/>
      <c r="E328" s="16"/>
      <c r="F328" s="19"/>
      <c r="G328" s="16"/>
      <c r="H328" s="22"/>
      <c r="I328" s="25"/>
      <c r="J328" s="22"/>
      <c r="K328" s="25"/>
      <c r="L328" s="22"/>
      <c r="M328" s="25"/>
      <c r="N328" s="19"/>
      <c r="O328" s="19"/>
      <c r="P328" s="16"/>
      <c r="Q328" s="19"/>
      <c r="R328" s="16"/>
      <c r="S328" s="25"/>
      <c r="T328" s="22"/>
      <c r="U328" s="25"/>
      <c r="V328" s="22"/>
      <c r="W328" s="25"/>
    </row>
    <row r="329" spans="1:23" x14ac:dyDescent="0.2">
      <c r="A329" s="6"/>
      <c r="B329" s="19"/>
      <c r="C329" s="16"/>
      <c r="D329" s="19"/>
      <c r="E329" s="16"/>
      <c r="F329" s="19"/>
      <c r="G329" s="16"/>
      <c r="H329" s="22"/>
      <c r="I329" s="25"/>
      <c r="J329" s="22"/>
      <c r="K329" s="25"/>
      <c r="L329" s="22"/>
      <c r="M329" s="25"/>
      <c r="N329" s="19"/>
      <c r="O329" s="19"/>
      <c r="P329" s="16"/>
      <c r="Q329" s="19"/>
      <c r="R329" s="16"/>
      <c r="S329" s="25"/>
      <c r="T329" s="22"/>
      <c r="U329" s="25"/>
      <c r="V329" s="22"/>
      <c r="W329" s="25"/>
    </row>
    <row r="330" spans="1:23" x14ac:dyDescent="0.2">
      <c r="A330" s="6"/>
      <c r="B330" s="19"/>
      <c r="C330" s="16"/>
      <c r="D330" s="19"/>
      <c r="E330" s="16"/>
      <c r="F330" s="19"/>
      <c r="G330" s="16"/>
      <c r="H330" s="22"/>
      <c r="I330" s="25"/>
      <c r="J330" s="22"/>
      <c r="K330" s="25"/>
      <c r="L330" s="22"/>
      <c r="M330" s="25"/>
      <c r="N330" s="19"/>
      <c r="O330" s="19"/>
      <c r="P330" s="16"/>
      <c r="Q330" s="19"/>
      <c r="R330" s="16"/>
      <c r="S330" s="25"/>
      <c r="T330" s="22"/>
      <c r="U330" s="25"/>
      <c r="V330" s="22"/>
      <c r="W330" s="25"/>
    </row>
    <row r="331" spans="1:23" x14ac:dyDescent="0.2">
      <c r="A331" s="6"/>
      <c r="B331" s="19"/>
      <c r="C331" s="16"/>
      <c r="D331" s="19"/>
      <c r="E331" s="16"/>
      <c r="F331" s="19"/>
      <c r="G331" s="16"/>
      <c r="H331" s="22"/>
      <c r="I331" s="25"/>
      <c r="J331" s="22"/>
      <c r="K331" s="25"/>
      <c r="L331" s="22"/>
      <c r="M331" s="25"/>
      <c r="N331" s="19"/>
      <c r="O331" s="19"/>
      <c r="P331" s="16"/>
      <c r="Q331" s="19"/>
      <c r="R331" s="16"/>
      <c r="S331" s="25"/>
      <c r="T331" s="22"/>
      <c r="U331" s="25"/>
      <c r="V331" s="22"/>
      <c r="W331" s="25"/>
    </row>
    <row r="332" spans="1:23" x14ac:dyDescent="0.2">
      <c r="A332" s="6"/>
      <c r="B332" s="19"/>
      <c r="C332" s="16"/>
      <c r="D332" s="19"/>
      <c r="E332" s="16"/>
      <c r="F332" s="19"/>
      <c r="G332" s="16"/>
      <c r="H332" s="22"/>
      <c r="I332" s="25"/>
      <c r="J332" s="22"/>
      <c r="K332" s="25"/>
      <c r="L332" s="22"/>
      <c r="M332" s="25"/>
      <c r="N332" s="19"/>
      <c r="O332" s="19"/>
      <c r="P332" s="16"/>
      <c r="Q332" s="19"/>
      <c r="R332" s="16"/>
      <c r="S332" s="25"/>
      <c r="T332" s="22"/>
      <c r="U332" s="25"/>
      <c r="V332" s="22"/>
      <c r="W332" s="25"/>
    </row>
    <row r="333" spans="1:23" x14ac:dyDescent="0.2">
      <c r="A333" s="6"/>
      <c r="B333" s="19"/>
      <c r="C333" s="16"/>
      <c r="D333" s="19"/>
      <c r="E333" s="16"/>
      <c r="F333" s="19"/>
      <c r="G333" s="16"/>
      <c r="H333" s="22"/>
      <c r="I333" s="25"/>
      <c r="J333" s="22"/>
      <c r="K333" s="25"/>
      <c r="L333" s="22"/>
      <c r="M333" s="25"/>
      <c r="N333" s="19"/>
      <c r="O333" s="19"/>
      <c r="P333" s="16"/>
      <c r="Q333" s="19"/>
      <c r="R333" s="16"/>
      <c r="S333" s="25"/>
      <c r="T333" s="22"/>
      <c r="U333" s="25"/>
      <c r="V333" s="22"/>
      <c r="W333" s="25"/>
    </row>
    <row r="334" spans="1:23" x14ac:dyDescent="0.2">
      <c r="A334" s="6"/>
      <c r="B334" s="19"/>
      <c r="C334" s="16"/>
      <c r="D334" s="19"/>
      <c r="E334" s="16"/>
      <c r="F334" s="19"/>
      <c r="G334" s="16"/>
      <c r="H334" s="22"/>
      <c r="I334" s="25"/>
      <c r="J334" s="22"/>
      <c r="K334" s="25"/>
      <c r="L334" s="22"/>
      <c r="M334" s="25"/>
      <c r="N334" s="19"/>
      <c r="O334" s="19"/>
      <c r="P334" s="16"/>
      <c r="Q334" s="19"/>
      <c r="R334" s="16"/>
      <c r="S334" s="25"/>
      <c r="T334" s="22"/>
      <c r="U334" s="25"/>
      <c r="V334" s="22"/>
      <c r="W334" s="25"/>
    </row>
    <row r="335" spans="1:23" x14ac:dyDescent="0.2">
      <c r="A335" s="6"/>
      <c r="B335" s="19"/>
      <c r="C335" s="16"/>
      <c r="D335" s="19"/>
      <c r="E335" s="16"/>
      <c r="F335" s="19"/>
      <c r="G335" s="16"/>
      <c r="H335" s="22"/>
      <c r="I335" s="25"/>
      <c r="J335" s="22"/>
      <c r="K335" s="25"/>
      <c r="L335" s="22"/>
      <c r="M335" s="25"/>
      <c r="N335" s="19"/>
      <c r="O335" s="19"/>
      <c r="P335" s="16"/>
      <c r="Q335" s="19"/>
      <c r="R335" s="16"/>
      <c r="S335" s="25"/>
      <c r="T335" s="22"/>
      <c r="U335" s="25"/>
      <c r="V335" s="22"/>
      <c r="W335" s="25"/>
    </row>
    <row r="336" spans="1:23" x14ac:dyDescent="0.2">
      <c r="A336" s="6"/>
      <c r="B336" s="19"/>
      <c r="C336" s="16"/>
      <c r="D336" s="19"/>
      <c r="E336" s="16"/>
      <c r="F336" s="19"/>
      <c r="G336" s="16"/>
      <c r="H336" s="22"/>
      <c r="I336" s="25"/>
      <c r="J336" s="22"/>
      <c r="K336" s="25"/>
      <c r="L336" s="22"/>
      <c r="M336" s="25"/>
      <c r="N336" s="19"/>
      <c r="O336" s="19"/>
      <c r="P336" s="16"/>
      <c r="Q336" s="19"/>
      <c r="R336" s="16"/>
      <c r="S336" s="25"/>
      <c r="T336" s="22"/>
      <c r="U336" s="25"/>
      <c r="V336" s="22"/>
      <c r="W336" s="25"/>
    </row>
    <row r="337" spans="1:23" x14ac:dyDescent="0.2">
      <c r="A337" s="6"/>
      <c r="B337" s="19"/>
      <c r="C337" s="16"/>
      <c r="D337" s="19"/>
      <c r="E337" s="16"/>
      <c r="F337" s="19"/>
      <c r="G337" s="16"/>
      <c r="H337" s="22"/>
      <c r="I337" s="25"/>
      <c r="J337" s="22"/>
      <c r="K337" s="25"/>
      <c r="L337" s="22"/>
      <c r="M337" s="25"/>
      <c r="N337" s="19"/>
      <c r="O337" s="19"/>
      <c r="P337" s="16"/>
      <c r="Q337" s="19"/>
      <c r="R337" s="16"/>
      <c r="S337" s="25"/>
      <c r="T337" s="22"/>
      <c r="U337" s="25"/>
      <c r="V337" s="22"/>
      <c r="W337" s="25"/>
    </row>
    <row r="338" spans="1:23" x14ac:dyDescent="0.2">
      <c r="A338" s="6"/>
      <c r="B338" s="19"/>
      <c r="C338" s="16"/>
      <c r="D338" s="19"/>
      <c r="E338" s="16"/>
      <c r="F338" s="19"/>
      <c r="G338" s="16"/>
      <c r="H338" s="22"/>
      <c r="I338" s="25"/>
      <c r="J338" s="22"/>
      <c r="K338" s="25"/>
      <c r="L338" s="22"/>
      <c r="M338" s="25"/>
      <c r="N338" s="19"/>
      <c r="O338" s="19"/>
      <c r="P338" s="16"/>
      <c r="Q338" s="19"/>
      <c r="R338" s="16"/>
      <c r="S338" s="25"/>
      <c r="T338" s="22"/>
      <c r="U338" s="25"/>
      <c r="V338" s="22"/>
      <c r="W338" s="25"/>
    </row>
    <row r="339" spans="1:23" x14ac:dyDescent="0.2">
      <c r="A339" s="6"/>
      <c r="B339" s="19"/>
      <c r="C339" s="16"/>
      <c r="D339" s="19"/>
      <c r="E339" s="16"/>
      <c r="F339" s="19"/>
      <c r="G339" s="16"/>
      <c r="H339" s="22"/>
      <c r="I339" s="25"/>
      <c r="J339" s="22"/>
      <c r="K339" s="25"/>
      <c r="L339" s="22"/>
      <c r="M339" s="25"/>
      <c r="N339" s="19"/>
      <c r="O339" s="19"/>
      <c r="P339" s="16"/>
      <c r="Q339" s="19"/>
      <c r="R339" s="16"/>
      <c r="S339" s="25"/>
      <c r="T339" s="22"/>
      <c r="U339" s="25"/>
      <c r="V339" s="22"/>
      <c r="W339" s="25"/>
    </row>
    <row r="340" spans="1:23" x14ac:dyDescent="0.2">
      <c r="A340" s="6"/>
      <c r="B340" s="19"/>
      <c r="C340" s="16"/>
      <c r="D340" s="19"/>
      <c r="E340" s="16"/>
      <c r="F340" s="19"/>
      <c r="G340" s="16"/>
      <c r="H340" s="22"/>
      <c r="I340" s="25"/>
      <c r="J340" s="22"/>
      <c r="K340" s="25"/>
      <c r="L340" s="22"/>
      <c r="M340" s="25"/>
      <c r="N340" s="19"/>
      <c r="O340" s="19"/>
      <c r="P340" s="16"/>
      <c r="Q340" s="19"/>
      <c r="R340" s="16"/>
      <c r="S340" s="25"/>
      <c r="T340" s="22"/>
      <c r="U340" s="25"/>
      <c r="V340" s="22"/>
      <c r="W340" s="25"/>
    </row>
    <row r="341" spans="1:23" x14ac:dyDescent="0.2">
      <c r="A341" s="6"/>
      <c r="B341" s="19"/>
      <c r="C341" s="16"/>
      <c r="D341" s="19"/>
      <c r="E341" s="16"/>
      <c r="F341" s="19"/>
      <c r="G341" s="16"/>
      <c r="H341" s="22"/>
      <c r="I341" s="25"/>
      <c r="J341" s="22"/>
      <c r="K341" s="25"/>
      <c r="L341" s="22"/>
      <c r="M341" s="25"/>
      <c r="N341" s="19"/>
      <c r="O341" s="19"/>
      <c r="P341" s="16"/>
      <c r="Q341" s="19"/>
      <c r="R341" s="16"/>
      <c r="S341" s="25"/>
      <c r="T341" s="22"/>
      <c r="U341" s="25"/>
      <c r="V341" s="22"/>
      <c r="W341" s="25"/>
    </row>
    <row r="342" spans="1:23" x14ac:dyDescent="0.2">
      <c r="A342" s="6"/>
      <c r="B342" s="19"/>
      <c r="C342" s="16"/>
      <c r="D342" s="19"/>
      <c r="E342" s="16"/>
      <c r="F342" s="19"/>
      <c r="G342" s="16"/>
      <c r="H342" s="22"/>
      <c r="I342" s="25"/>
      <c r="J342" s="22"/>
      <c r="K342" s="25"/>
      <c r="L342" s="22"/>
      <c r="M342" s="25"/>
      <c r="N342" s="19"/>
      <c r="O342" s="19"/>
      <c r="P342" s="16"/>
      <c r="Q342" s="19"/>
      <c r="R342" s="16"/>
      <c r="S342" s="25"/>
      <c r="T342" s="22"/>
      <c r="U342" s="25"/>
      <c r="V342" s="22"/>
      <c r="W342" s="25"/>
    </row>
    <row r="343" spans="1:23" x14ac:dyDescent="0.2">
      <c r="A343" s="6"/>
      <c r="B343" s="19"/>
      <c r="C343" s="16"/>
      <c r="D343" s="19"/>
      <c r="E343" s="16"/>
      <c r="F343" s="19"/>
      <c r="G343" s="16"/>
      <c r="H343" s="22"/>
      <c r="I343" s="25"/>
      <c r="J343" s="22"/>
      <c r="K343" s="25"/>
      <c r="L343" s="22"/>
      <c r="M343" s="25"/>
      <c r="N343" s="19"/>
      <c r="O343" s="19"/>
      <c r="P343" s="16"/>
      <c r="Q343" s="19"/>
      <c r="R343" s="16"/>
      <c r="S343" s="25"/>
      <c r="T343" s="22"/>
      <c r="U343" s="25"/>
      <c r="V343" s="22"/>
      <c r="W343" s="25"/>
    </row>
    <row r="344" spans="1:23" x14ac:dyDescent="0.2">
      <c r="A344" s="6"/>
      <c r="B344" s="19"/>
      <c r="C344" s="16"/>
      <c r="D344" s="19"/>
      <c r="E344" s="16"/>
      <c r="F344" s="19"/>
      <c r="G344" s="16"/>
      <c r="H344" s="22"/>
      <c r="I344" s="25"/>
      <c r="J344" s="22"/>
      <c r="K344" s="25"/>
      <c r="L344" s="22"/>
      <c r="M344" s="25"/>
      <c r="N344" s="19"/>
      <c r="O344" s="19"/>
      <c r="P344" s="16"/>
      <c r="Q344" s="19"/>
      <c r="R344" s="16"/>
      <c r="S344" s="25"/>
      <c r="T344" s="22"/>
      <c r="U344" s="25"/>
      <c r="V344" s="22"/>
      <c r="W344" s="25"/>
    </row>
    <row r="345" spans="1:23" x14ac:dyDescent="0.2">
      <c r="A345" s="6"/>
      <c r="B345" s="19"/>
      <c r="C345" s="16"/>
      <c r="D345" s="19"/>
      <c r="E345" s="16"/>
      <c r="F345" s="19"/>
      <c r="G345" s="16"/>
      <c r="H345" s="22"/>
      <c r="I345" s="25"/>
      <c r="J345" s="22"/>
      <c r="K345" s="25"/>
      <c r="L345" s="22"/>
      <c r="M345" s="25"/>
      <c r="N345" s="19"/>
      <c r="O345" s="19"/>
      <c r="P345" s="16"/>
      <c r="Q345" s="19"/>
      <c r="R345" s="16"/>
      <c r="S345" s="25"/>
      <c r="T345" s="22"/>
      <c r="U345" s="25"/>
      <c r="V345" s="22"/>
      <c r="W345" s="25"/>
    </row>
    <row r="346" spans="1:23" x14ac:dyDescent="0.2">
      <c r="A346" s="6"/>
      <c r="B346" s="19"/>
      <c r="C346" s="16"/>
      <c r="D346" s="19"/>
      <c r="E346" s="16"/>
      <c r="F346" s="19"/>
      <c r="G346" s="16"/>
      <c r="H346" s="22"/>
      <c r="I346" s="25"/>
      <c r="J346" s="22"/>
      <c r="K346" s="25"/>
      <c r="L346" s="22"/>
      <c r="M346" s="25"/>
      <c r="N346" s="19"/>
      <c r="O346" s="19"/>
      <c r="P346" s="16"/>
      <c r="Q346" s="19"/>
      <c r="R346" s="16"/>
      <c r="S346" s="25"/>
      <c r="T346" s="22"/>
      <c r="U346" s="25"/>
      <c r="V346" s="22"/>
      <c r="W346" s="25"/>
    </row>
    <row r="347" spans="1:23" x14ac:dyDescent="0.2">
      <c r="A347" s="6"/>
      <c r="B347" s="19"/>
      <c r="C347" s="16"/>
      <c r="D347" s="19"/>
      <c r="E347" s="16"/>
      <c r="F347" s="19"/>
      <c r="G347" s="16"/>
      <c r="H347" s="22"/>
      <c r="I347" s="25"/>
      <c r="J347" s="22"/>
      <c r="K347" s="25"/>
      <c r="L347" s="22"/>
      <c r="M347" s="25"/>
      <c r="N347" s="19"/>
      <c r="O347" s="19"/>
      <c r="P347" s="16"/>
      <c r="Q347" s="19"/>
      <c r="R347" s="16"/>
      <c r="S347" s="25"/>
      <c r="T347" s="22"/>
      <c r="U347" s="25"/>
      <c r="V347" s="22"/>
      <c r="W347" s="25"/>
    </row>
    <row r="348" spans="1:23" x14ac:dyDescent="0.2">
      <c r="A348" s="6"/>
      <c r="B348" s="19"/>
      <c r="C348" s="16"/>
      <c r="D348" s="19"/>
      <c r="E348" s="16"/>
      <c r="F348" s="19"/>
      <c r="G348" s="16"/>
      <c r="H348" s="22"/>
      <c r="I348" s="25"/>
      <c r="J348" s="22"/>
      <c r="K348" s="25"/>
      <c r="L348" s="22"/>
      <c r="M348" s="25"/>
      <c r="N348" s="19"/>
      <c r="O348" s="19"/>
      <c r="P348" s="16"/>
      <c r="Q348" s="19"/>
      <c r="R348" s="16"/>
      <c r="S348" s="25"/>
      <c r="T348" s="22"/>
      <c r="U348" s="25"/>
      <c r="V348" s="22"/>
      <c r="W348" s="25"/>
    </row>
    <row r="349" spans="1:23" x14ac:dyDescent="0.2">
      <c r="A349" s="6"/>
      <c r="B349" s="19"/>
      <c r="C349" s="16"/>
      <c r="D349" s="19"/>
      <c r="E349" s="16"/>
      <c r="F349" s="19"/>
      <c r="G349" s="16"/>
      <c r="H349" s="22"/>
      <c r="I349" s="25"/>
      <c r="J349" s="22"/>
      <c r="K349" s="25"/>
      <c r="L349" s="22"/>
      <c r="M349" s="25"/>
      <c r="N349" s="19"/>
      <c r="O349" s="19"/>
      <c r="P349" s="16"/>
      <c r="Q349" s="19"/>
      <c r="R349" s="16"/>
      <c r="S349" s="25"/>
      <c r="T349" s="22"/>
      <c r="U349" s="25"/>
      <c r="V349" s="22"/>
      <c r="W349" s="25"/>
    </row>
    <row r="350" spans="1:23" x14ac:dyDescent="0.2">
      <c r="A350" s="6"/>
      <c r="B350" s="19"/>
      <c r="C350" s="16"/>
      <c r="D350" s="19"/>
      <c r="E350" s="16"/>
      <c r="F350" s="19"/>
      <c r="G350" s="16"/>
      <c r="H350" s="22"/>
      <c r="I350" s="25"/>
      <c r="J350" s="22"/>
      <c r="K350" s="25"/>
      <c r="L350" s="22"/>
      <c r="M350" s="25"/>
      <c r="N350" s="19"/>
      <c r="O350" s="19"/>
      <c r="P350" s="16"/>
      <c r="Q350" s="19"/>
      <c r="R350" s="16"/>
      <c r="S350" s="25"/>
      <c r="T350" s="22"/>
      <c r="U350" s="25"/>
      <c r="V350" s="22"/>
      <c r="W350" s="25"/>
    </row>
    <row r="351" spans="1:23" x14ac:dyDescent="0.2">
      <c r="A351" s="6"/>
      <c r="B351" s="19"/>
      <c r="C351" s="16"/>
      <c r="D351" s="19"/>
      <c r="E351" s="16"/>
      <c r="F351" s="19"/>
      <c r="G351" s="16"/>
      <c r="H351" s="22"/>
      <c r="I351" s="25"/>
      <c r="J351" s="22"/>
      <c r="K351" s="25"/>
      <c r="L351" s="22"/>
      <c r="M351" s="25"/>
      <c r="N351" s="19"/>
      <c r="O351" s="19"/>
      <c r="P351" s="16"/>
      <c r="Q351" s="19"/>
      <c r="R351" s="16"/>
      <c r="S351" s="25"/>
      <c r="T351" s="22"/>
      <c r="U351" s="25"/>
      <c r="V351" s="22"/>
      <c r="W351" s="25"/>
    </row>
    <row r="352" spans="1:23" x14ac:dyDescent="0.2">
      <c r="A352" s="6"/>
      <c r="B352" s="19"/>
      <c r="C352" s="16"/>
      <c r="D352" s="19"/>
      <c r="E352" s="16"/>
      <c r="F352" s="19"/>
      <c r="G352" s="16"/>
      <c r="H352" s="22"/>
      <c r="I352" s="25"/>
      <c r="J352" s="22"/>
      <c r="K352" s="25"/>
      <c r="L352" s="22"/>
      <c r="M352" s="25"/>
      <c r="N352" s="19"/>
      <c r="O352" s="19"/>
      <c r="P352" s="16"/>
      <c r="Q352" s="19"/>
      <c r="R352" s="16"/>
      <c r="S352" s="25"/>
      <c r="T352" s="22"/>
      <c r="U352" s="25"/>
      <c r="V352" s="22"/>
      <c r="W352" s="25"/>
    </row>
    <row r="353" spans="1:23" x14ac:dyDescent="0.2">
      <c r="A353" s="6"/>
      <c r="B353" s="19"/>
      <c r="C353" s="16"/>
      <c r="D353" s="19"/>
      <c r="E353" s="16"/>
      <c r="F353" s="19"/>
      <c r="G353" s="16"/>
      <c r="H353" s="22"/>
      <c r="I353" s="25"/>
      <c r="J353" s="22"/>
      <c r="K353" s="25"/>
      <c r="L353" s="22"/>
      <c r="M353" s="25"/>
      <c r="N353" s="19"/>
      <c r="O353" s="19"/>
      <c r="P353" s="16"/>
      <c r="Q353" s="19"/>
      <c r="R353" s="16"/>
      <c r="S353" s="25"/>
      <c r="T353" s="22"/>
      <c r="U353" s="25"/>
      <c r="V353" s="22"/>
      <c r="W353" s="25"/>
    </row>
    <row r="354" spans="1:23" x14ac:dyDescent="0.2">
      <c r="A354" s="6"/>
      <c r="B354" s="19"/>
      <c r="C354" s="16"/>
      <c r="D354" s="19"/>
      <c r="E354" s="16"/>
      <c r="F354" s="19"/>
      <c r="G354" s="16"/>
      <c r="H354" s="22"/>
      <c r="I354" s="25"/>
      <c r="J354" s="22"/>
      <c r="K354" s="25"/>
      <c r="L354" s="22"/>
      <c r="M354" s="25"/>
      <c r="N354" s="19"/>
      <c r="O354" s="19"/>
      <c r="P354" s="16"/>
      <c r="Q354" s="19"/>
      <c r="R354" s="16"/>
      <c r="S354" s="25"/>
      <c r="T354" s="22"/>
      <c r="U354" s="25"/>
      <c r="V354" s="22"/>
      <c r="W354" s="25"/>
    </row>
    <row r="355" spans="1:23" x14ac:dyDescent="0.2">
      <c r="A355" s="6"/>
      <c r="B355" s="19"/>
      <c r="C355" s="16"/>
      <c r="D355" s="19"/>
      <c r="E355" s="16"/>
      <c r="F355" s="19"/>
      <c r="G355" s="16"/>
      <c r="H355" s="22"/>
      <c r="I355" s="25"/>
      <c r="J355" s="22"/>
      <c r="K355" s="25"/>
      <c r="L355" s="22"/>
      <c r="M355" s="25"/>
      <c r="N355" s="19"/>
      <c r="O355" s="19"/>
      <c r="P355" s="16"/>
      <c r="Q355" s="19"/>
      <c r="R355" s="16"/>
      <c r="S355" s="25"/>
      <c r="T355" s="22"/>
      <c r="U355" s="25"/>
      <c r="V355" s="22"/>
      <c r="W355" s="25"/>
    </row>
    <row r="356" spans="1:23" x14ac:dyDescent="0.2">
      <c r="A356" s="6"/>
      <c r="B356" s="19"/>
      <c r="C356" s="16"/>
      <c r="D356" s="19"/>
      <c r="E356" s="16"/>
      <c r="F356" s="19"/>
      <c r="G356" s="16"/>
      <c r="H356" s="22"/>
      <c r="I356" s="25"/>
      <c r="J356" s="22"/>
      <c r="K356" s="25"/>
      <c r="L356" s="22"/>
      <c r="M356" s="25"/>
      <c r="N356" s="19"/>
      <c r="O356" s="19"/>
      <c r="P356" s="16"/>
      <c r="Q356" s="19"/>
      <c r="R356" s="16"/>
      <c r="S356" s="25"/>
      <c r="T356" s="22"/>
      <c r="U356" s="25"/>
      <c r="V356" s="22"/>
      <c r="W356" s="25"/>
    </row>
    <row r="357" spans="1:23" x14ac:dyDescent="0.2">
      <c r="A357" s="6"/>
      <c r="B357" s="19"/>
      <c r="C357" s="16"/>
      <c r="D357" s="19"/>
      <c r="E357" s="16"/>
      <c r="F357" s="19"/>
      <c r="G357" s="16"/>
      <c r="H357" s="22"/>
      <c r="I357" s="25"/>
      <c r="J357" s="22"/>
      <c r="K357" s="25"/>
      <c r="L357" s="22"/>
      <c r="M357" s="25"/>
      <c r="N357" s="19"/>
      <c r="O357" s="19"/>
      <c r="P357" s="16"/>
      <c r="Q357" s="19"/>
      <c r="R357" s="16"/>
      <c r="S357" s="25"/>
      <c r="T357" s="22"/>
      <c r="U357" s="25"/>
      <c r="V357" s="22"/>
      <c r="W357" s="25"/>
    </row>
    <row r="358" spans="1:23" x14ac:dyDescent="0.2">
      <c r="A358" s="6"/>
      <c r="B358" s="19"/>
      <c r="C358" s="16"/>
      <c r="D358" s="19"/>
      <c r="E358" s="16"/>
      <c r="F358" s="19"/>
      <c r="G358" s="16"/>
      <c r="H358" s="22"/>
      <c r="I358" s="25"/>
      <c r="J358" s="22"/>
      <c r="K358" s="25"/>
      <c r="L358" s="22"/>
      <c r="M358" s="25"/>
      <c r="N358" s="19"/>
      <c r="O358" s="19"/>
      <c r="P358" s="16"/>
      <c r="Q358" s="19"/>
      <c r="R358" s="16"/>
      <c r="S358" s="25"/>
      <c r="T358" s="22"/>
      <c r="U358" s="25"/>
      <c r="V358" s="22"/>
      <c r="W358" s="25"/>
    </row>
    <row r="359" spans="1:23" x14ac:dyDescent="0.2">
      <c r="A359" s="6"/>
      <c r="B359" s="19"/>
      <c r="C359" s="16"/>
      <c r="D359" s="19"/>
      <c r="E359" s="16"/>
      <c r="F359" s="19"/>
      <c r="G359" s="16"/>
      <c r="H359" s="22"/>
      <c r="I359" s="25"/>
      <c r="J359" s="22"/>
      <c r="K359" s="25"/>
      <c r="L359" s="22"/>
      <c r="M359" s="25"/>
      <c r="N359" s="19"/>
      <c r="O359" s="19"/>
      <c r="P359" s="16"/>
      <c r="Q359" s="19"/>
      <c r="R359" s="16"/>
      <c r="S359" s="25"/>
      <c r="T359" s="22"/>
      <c r="U359" s="25"/>
      <c r="V359" s="22"/>
      <c r="W359" s="25"/>
    </row>
    <row r="360" spans="1:23" x14ac:dyDescent="0.2">
      <c r="A360" s="6"/>
      <c r="B360" s="19"/>
      <c r="C360" s="16"/>
      <c r="D360" s="19"/>
      <c r="E360" s="16"/>
      <c r="F360" s="19"/>
      <c r="G360" s="16"/>
      <c r="H360" s="22"/>
      <c r="I360" s="25"/>
      <c r="J360" s="22"/>
      <c r="K360" s="25"/>
      <c r="L360" s="22"/>
      <c r="M360" s="25"/>
      <c r="N360" s="19"/>
      <c r="O360" s="19"/>
      <c r="P360" s="16"/>
      <c r="Q360" s="19"/>
      <c r="R360" s="16"/>
      <c r="S360" s="25"/>
      <c r="T360" s="22"/>
      <c r="U360" s="25"/>
      <c r="V360" s="22"/>
      <c r="W360" s="25"/>
    </row>
    <row r="361" spans="1:23" x14ac:dyDescent="0.2">
      <c r="A361" s="6"/>
      <c r="B361" s="19"/>
      <c r="C361" s="16"/>
      <c r="D361" s="19"/>
      <c r="E361" s="16"/>
      <c r="F361" s="19"/>
      <c r="G361" s="16"/>
      <c r="H361" s="22"/>
      <c r="I361" s="25"/>
      <c r="J361" s="22"/>
      <c r="K361" s="25"/>
      <c r="L361" s="22"/>
      <c r="M361" s="25"/>
      <c r="N361" s="19"/>
      <c r="O361" s="19"/>
      <c r="P361" s="16"/>
      <c r="Q361" s="19"/>
      <c r="R361" s="16"/>
      <c r="S361" s="25"/>
      <c r="T361" s="22"/>
      <c r="U361" s="25"/>
      <c r="V361" s="22"/>
      <c r="W361" s="25"/>
    </row>
    <row r="362" spans="1:23" x14ac:dyDescent="0.2">
      <c r="A362" s="6"/>
      <c r="B362" s="19"/>
      <c r="C362" s="16"/>
      <c r="D362" s="19"/>
      <c r="E362" s="16"/>
      <c r="F362" s="19"/>
      <c r="G362" s="16"/>
      <c r="H362" s="22"/>
      <c r="I362" s="25"/>
      <c r="J362" s="22"/>
      <c r="K362" s="25"/>
      <c r="L362" s="22"/>
      <c r="M362" s="25"/>
      <c r="N362" s="19"/>
      <c r="O362" s="19"/>
      <c r="P362" s="16"/>
      <c r="Q362" s="19"/>
      <c r="R362" s="16"/>
      <c r="S362" s="25"/>
      <c r="T362" s="22"/>
      <c r="U362" s="25"/>
      <c r="V362" s="22"/>
      <c r="W362" s="25"/>
    </row>
    <row r="363" spans="1:23" x14ac:dyDescent="0.2">
      <c r="A363" s="6"/>
      <c r="B363" s="19"/>
      <c r="C363" s="16"/>
      <c r="D363" s="19"/>
      <c r="E363" s="16"/>
      <c r="F363" s="19"/>
      <c r="G363" s="16"/>
      <c r="H363" s="22"/>
      <c r="I363" s="25"/>
      <c r="J363" s="22"/>
      <c r="K363" s="25"/>
      <c r="L363" s="22"/>
      <c r="M363" s="25"/>
      <c r="N363" s="19"/>
      <c r="O363" s="19"/>
      <c r="P363" s="16"/>
      <c r="Q363" s="19"/>
      <c r="R363" s="16"/>
      <c r="S363" s="25"/>
      <c r="T363" s="22"/>
      <c r="U363" s="25"/>
      <c r="V363" s="22"/>
      <c r="W363" s="25"/>
    </row>
    <row r="364" spans="1:23" x14ac:dyDescent="0.2">
      <c r="A364" s="6"/>
      <c r="B364" s="19"/>
      <c r="C364" s="16"/>
      <c r="D364" s="19"/>
      <c r="E364" s="16"/>
      <c r="F364" s="19"/>
      <c r="G364" s="16"/>
      <c r="H364" s="22"/>
      <c r="I364" s="25"/>
      <c r="J364" s="22"/>
      <c r="K364" s="25"/>
      <c r="L364" s="22"/>
      <c r="M364" s="25"/>
      <c r="N364" s="19"/>
      <c r="O364" s="19"/>
      <c r="P364" s="16"/>
      <c r="Q364" s="19"/>
      <c r="R364" s="16"/>
      <c r="S364" s="25"/>
      <c r="T364" s="22"/>
      <c r="U364" s="25"/>
      <c r="V364" s="22"/>
      <c r="W364" s="25"/>
    </row>
    <row r="365" spans="1:23" x14ac:dyDescent="0.2">
      <c r="A365" s="6"/>
      <c r="B365" s="19"/>
      <c r="C365" s="16"/>
      <c r="D365" s="19"/>
      <c r="E365" s="16"/>
      <c r="F365" s="19"/>
      <c r="G365" s="16"/>
      <c r="H365" s="22"/>
      <c r="I365" s="25"/>
      <c r="J365" s="22"/>
      <c r="K365" s="25"/>
      <c r="L365" s="22"/>
      <c r="M365" s="25"/>
      <c r="N365" s="19"/>
      <c r="O365" s="19"/>
      <c r="P365" s="16"/>
      <c r="Q365" s="19"/>
      <c r="R365" s="16"/>
      <c r="S365" s="25"/>
      <c r="T365" s="22"/>
      <c r="U365" s="25"/>
      <c r="V365" s="22"/>
      <c r="W365" s="25"/>
    </row>
    <row r="366" spans="1:23" x14ac:dyDescent="0.2">
      <c r="A366" s="6"/>
      <c r="B366" s="19"/>
      <c r="C366" s="16"/>
      <c r="D366" s="19"/>
      <c r="E366" s="16"/>
      <c r="F366" s="19"/>
      <c r="G366" s="16"/>
      <c r="H366" s="22"/>
      <c r="I366" s="25"/>
      <c r="J366" s="22"/>
      <c r="K366" s="25"/>
      <c r="L366" s="22"/>
      <c r="M366" s="25"/>
      <c r="N366" s="19"/>
      <c r="O366" s="19"/>
      <c r="P366" s="16"/>
      <c r="Q366" s="19"/>
      <c r="R366" s="16"/>
      <c r="S366" s="25"/>
      <c r="T366" s="22"/>
      <c r="U366" s="25"/>
      <c r="V366" s="22"/>
      <c r="W366" s="25"/>
    </row>
    <row r="367" spans="1:23" x14ac:dyDescent="0.2">
      <c r="A367" s="6"/>
      <c r="B367" s="19"/>
      <c r="C367" s="16"/>
      <c r="D367" s="19"/>
      <c r="E367" s="16"/>
      <c r="F367" s="19"/>
      <c r="G367" s="16"/>
      <c r="H367" s="22"/>
      <c r="I367" s="25"/>
      <c r="J367" s="22"/>
      <c r="K367" s="25"/>
      <c r="L367" s="22"/>
      <c r="M367" s="25"/>
      <c r="N367" s="19"/>
      <c r="O367" s="19"/>
      <c r="P367" s="16"/>
      <c r="Q367" s="19"/>
      <c r="R367" s="16"/>
      <c r="S367" s="25"/>
      <c r="T367" s="22"/>
      <c r="U367" s="25"/>
      <c r="V367" s="22"/>
      <c r="W367" s="25"/>
    </row>
    <row r="368" spans="1:23" x14ac:dyDescent="0.2">
      <c r="A368" s="6"/>
      <c r="B368" s="19"/>
      <c r="C368" s="16"/>
      <c r="D368" s="19"/>
      <c r="E368" s="16"/>
      <c r="F368" s="19"/>
      <c r="G368" s="16"/>
      <c r="H368" s="22"/>
      <c r="I368" s="25"/>
      <c r="J368" s="22"/>
      <c r="K368" s="25"/>
      <c r="L368" s="22"/>
      <c r="M368" s="25"/>
      <c r="N368" s="19"/>
      <c r="O368" s="19"/>
      <c r="P368" s="16"/>
      <c r="Q368" s="19"/>
      <c r="R368" s="16"/>
      <c r="S368" s="25"/>
      <c r="T368" s="22"/>
      <c r="U368" s="25"/>
      <c r="V368" s="22"/>
      <c r="W368" s="25"/>
    </row>
    <row r="369" spans="1:23" x14ac:dyDescent="0.2">
      <c r="A369" s="6"/>
      <c r="B369" s="19"/>
      <c r="C369" s="16"/>
      <c r="D369" s="19"/>
      <c r="E369" s="16"/>
      <c r="F369" s="19"/>
      <c r="G369" s="16"/>
      <c r="H369" s="22"/>
      <c r="I369" s="25"/>
      <c r="J369" s="22"/>
      <c r="K369" s="25"/>
      <c r="L369" s="22"/>
      <c r="M369" s="25"/>
      <c r="N369" s="19"/>
      <c r="O369" s="19"/>
      <c r="P369" s="16"/>
      <c r="Q369" s="19"/>
      <c r="R369" s="16"/>
      <c r="S369" s="25"/>
      <c r="T369" s="22"/>
      <c r="U369" s="25"/>
      <c r="V369" s="22"/>
      <c r="W369" s="25"/>
    </row>
  </sheetData>
  <conditionalFormatting sqref="B1:W369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225-5159-492B-A02F-EDC4C12C006E}">
  <dimension ref="A1:W369"/>
  <sheetViews>
    <sheetView topLeftCell="A284" workbookViewId="0">
      <selection sqref="A1:W369"/>
    </sheetView>
  </sheetViews>
  <sheetFormatPr baseColWidth="10" defaultRowHeight="15" x14ac:dyDescent="0.2"/>
  <cols>
    <col min="1" max="1" width="24" style="2" customWidth="1"/>
    <col min="2" max="2" width="10.83203125" style="20"/>
    <col min="3" max="3" width="10.83203125" style="17"/>
    <col min="4" max="4" width="10.83203125" style="20"/>
    <col min="5" max="5" width="10.83203125" style="17"/>
    <col min="6" max="6" width="10.83203125" style="20"/>
    <col min="7" max="7" width="10.83203125" style="17"/>
    <col min="8" max="8" width="10.83203125" style="23"/>
    <col min="9" max="9" width="10.83203125" style="26"/>
    <col min="10" max="10" width="10.83203125" style="23"/>
    <col min="11" max="11" width="10.83203125" style="26"/>
    <col min="12" max="12" width="10.83203125" style="23"/>
    <col min="13" max="13" width="10.83203125" style="26"/>
    <col min="14" max="15" width="10.83203125" style="20"/>
    <col min="16" max="16" width="10.83203125" style="17"/>
    <col min="17" max="17" width="10.83203125" style="20"/>
    <col min="18" max="18" width="10.83203125" style="17"/>
    <col min="19" max="19" width="10.83203125" style="26"/>
    <col min="20" max="20" width="10.83203125" style="23"/>
    <col min="21" max="21" width="10.83203125" style="26"/>
    <col min="22" max="22" width="10.83203125" style="23"/>
    <col min="23" max="23" width="10.83203125" style="26"/>
  </cols>
  <sheetData>
    <row r="1" spans="1:23" s="7" customFormat="1" x14ac:dyDescent="0.2">
      <c r="A1" s="5" t="s">
        <v>942</v>
      </c>
      <c r="B1" s="18" t="s">
        <v>22</v>
      </c>
      <c r="C1" s="15" t="s">
        <v>13</v>
      </c>
      <c r="D1" s="18" t="s">
        <v>7</v>
      </c>
      <c r="E1" s="15" t="s">
        <v>6</v>
      </c>
      <c r="F1" s="18" t="s">
        <v>5</v>
      </c>
      <c r="G1" s="15" t="s">
        <v>4</v>
      </c>
      <c r="H1" s="21" t="s">
        <v>3</v>
      </c>
      <c r="I1" s="24" t="s">
        <v>2</v>
      </c>
      <c r="J1" s="21" t="s">
        <v>1</v>
      </c>
      <c r="K1" s="24" t="s">
        <v>21</v>
      </c>
      <c r="L1" s="21" t="s">
        <v>20</v>
      </c>
      <c r="M1" s="24" t="s">
        <v>19</v>
      </c>
      <c r="N1" s="18" t="s">
        <v>18</v>
      </c>
      <c r="O1" s="18" t="s">
        <v>17</v>
      </c>
      <c r="P1" s="15" t="s">
        <v>16</v>
      </c>
      <c r="Q1" s="18" t="s">
        <v>15</v>
      </c>
      <c r="R1" s="15" t="s">
        <v>14</v>
      </c>
      <c r="S1" s="24" t="s">
        <v>12</v>
      </c>
      <c r="T1" s="21" t="s">
        <v>11</v>
      </c>
      <c r="U1" s="24" t="s">
        <v>10</v>
      </c>
      <c r="V1" s="21" t="s">
        <v>9</v>
      </c>
      <c r="W1" s="24" t="s">
        <v>8</v>
      </c>
    </row>
    <row r="2" spans="1:23" x14ac:dyDescent="0.2">
      <c r="A2" s="6" t="s">
        <v>941</v>
      </c>
      <c r="B2" s="19">
        <v>0</v>
      </c>
      <c r="C2" s="16">
        <v>0</v>
      </c>
      <c r="D2" s="19">
        <v>0</v>
      </c>
      <c r="E2" s="16">
        <v>3.396393030601501E-5</v>
      </c>
      <c r="F2" s="19">
        <v>0</v>
      </c>
      <c r="G2" s="16">
        <v>1.2914557288976134E-4</v>
      </c>
      <c r="H2" s="22">
        <v>1.6315662383261436E-4</v>
      </c>
      <c r="I2" s="25">
        <v>9.0150422419122192E-5</v>
      </c>
      <c r="J2" s="22">
        <v>0</v>
      </c>
      <c r="K2" s="25">
        <v>0</v>
      </c>
      <c r="L2" s="22">
        <v>0</v>
      </c>
      <c r="M2" s="25">
        <v>0</v>
      </c>
      <c r="N2" s="19">
        <v>5.3788182138737653E-5</v>
      </c>
      <c r="O2" s="19">
        <v>4.3445976902538823E-4</v>
      </c>
      <c r="P2" s="16">
        <v>0</v>
      </c>
      <c r="Q2" s="19">
        <v>1.0675491739838266E-4</v>
      </c>
      <c r="R2" s="16">
        <v>2.8563675573772835E-5</v>
      </c>
      <c r="S2" s="25">
        <v>0</v>
      </c>
      <c r="T2" s="22">
        <v>4.4227658714112412E-5</v>
      </c>
      <c r="U2" s="25">
        <v>0</v>
      </c>
      <c r="V2" s="22">
        <v>0</v>
      </c>
      <c r="W2" s="25">
        <v>0</v>
      </c>
    </row>
    <row r="3" spans="1:23" x14ac:dyDescent="0.2">
      <c r="A3" s="6" t="s">
        <v>940</v>
      </c>
      <c r="B3" s="19">
        <v>0</v>
      </c>
      <c r="C3" s="16">
        <v>0</v>
      </c>
      <c r="D3" s="19">
        <v>0</v>
      </c>
      <c r="E3" s="16">
        <v>0</v>
      </c>
      <c r="F3" s="19">
        <v>0</v>
      </c>
      <c r="G3" s="16">
        <v>0</v>
      </c>
      <c r="H3" s="22">
        <v>0</v>
      </c>
      <c r="I3" s="25">
        <v>0</v>
      </c>
      <c r="J3" s="22">
        <v>0</v>
      </c>
      <c r="K3" s="25">
        <v>0</v>
      </c>
      <c r="L3" s="22">
        <v>0</v>
      </c>
      <c r="M3" s="25">
        <v>3.3255736614566014E-5</v>
      </c>
      <c r="N3" s="19">
        <v>0</v>
      </c>
      <c r="O3" s="19">
        <v>0</v>
      </c>
      <c r="P3" s="16">
        <v>0</v>
      </c>
      <c r="Q3" s="19">
        <v>0</v>
      </c>
      <c r="R3" s="16">
        <v>0</v>
      </c>
      <c r="S3" s="25">
        <v>0</v>
      </c>
      <c r="T3" s="22">
        <v>0</v>
      </c>
      <c r="U3" s="25">
        <v>0</v>
      </c>
      <c r="V3" s="22">
        <v>0</v>
      </c>
      <c r="W3" s="25">
        <v>0</v>
      </c>
    </row>
    <row r="4" spans="1:23" x14ac:dyDescent="0.2">
      <c r="A4" s="6" t="s">
        <v>939</v>
      </c>
      <c r="B4" s="19">
        <v>0</v>
      </c>
      <c r="C4" s="16">
        <v>2.1467549375363563E-4</v>
      </c>
      <c r="D4" s="19">
        <v>4.2636347486232012E-5</v>
      </c>
      <c r="E4" s="16">
        <v>1.7661243759127806E-4</v>
      </c>
      <c r="F4" s="19">
        <v>3.7382607169831472E-4</v>
      </c>
      <c r="G4" s="16">
        <v>4.4770465268450599E-4</v>
      </c>
      <c r="H4" s="22">
        <v>1.2399903411278691E-4</v>
      </c>
      <c r="I4" s="25">
        <v>5.0870595507933238E-4</v>
      </c>
      <c r="J4" s="22">
        <v>1.2198373550193309E-3</v>
      </c>
      <c r="K4" s="25">
        <v>1.7426740663288556E-3</v>
      </c>
      <c r="L4" s="22">
        <v>1.4755428768167621E-4</v>
      </c>
      <c r="M4" s="25">
        <v>3.3255736614566014E-5</v>
      </c>
      <c r="N4" s="19">
        <v>0</v>
      </c>
      <c r="O4" s="19">
        <v>0</v>
      </c>
      <c r="P4" s="16">
        <v>2.5866194177519687E-4</v>
      </c>
      <c r="Q4" s="19">
        <v>2.8023165817075448E-4</v>
      </c>
      <c r="R4" s="16">
        <v>2.4993216127051226E-4</v>
      </c>
      <c r="S4" s="25">
        <v>2.1511332092460081E-3</v>
      </c>
      <c r="T4" s="22">
        <v>4.6754953497775978E-4</v>
      </c>
      <c r="U4" s="25">
        <v>1.1841100076394194E-3</v>
      </c>
      <c r="V4" s="22">
        <v>7.8139276959625934E-4</v>
      </c>
      <c r="W4" s="25">
        <v>2.8188749227282097E-3</v>
      </c>
    </row>
    <row r="5" spans="1:23" x14ac:dyDescent="0.2">
      <c r="A5" s="6" t="s">
        <v>938</v>
      </c>
      <c r="B5" s="19">
        <v>1.2560156539214131E-4</v>
      </c>
      <c r="C5" s="16">
        <v>4.8475111492756433E-5</v>
      </c>
      <c r="D5" s="19">
        <v>0</v>
      </c>
      <c r="E5" s="16">
        <v>4.0756716367218015E-5</v>
      </c>
      <c r="F5" s="19">
        <v>2.8227682964974786E-4</v>
      </c>
      <c r="G5" s="16">
        <v>4.3048524296587115E-5</v>
      </c>
      <c r="H5" s="22">
        <v>3.2631324766522872E-5</v>
      </c>
      <c r="I5" s="25">
        <v>0</v>
      </c>
      <c r="J5" s="22">
        <v>8.6655112651646437E-5</v>
      </c>
      <c r="K5" s="25">
        <v>0</v>
      </c>
      <c r="L5" s="22">
        <v>0</v>
      </c>
      <c r="M5" s="25">
        <v>0</v>
      </c>
      <c r="N5" s="19">
        <v>1.4343515236996706E-4</v>
      </c>
      <c r="O5" s="19">
        <v>0</v>
      </c>
      <c r="P5" s="16">
        <v>1.8106335924263783E-4</v>
      </c>
      <c r="Q5" s="19">
        <v>0</v>
      </c>
      <c r="R5" s="16">
        <v>3.5704594467216042E-5</v>
      </c>
      <c r="S5" s="25">
        <v>0</v>
      </c>
      <c r="T5" s="22">
        <v>3.7909421754953497E-5</v>
      </c>
      <c r="U5" s="25">
        <v>0</v>
      </c>
      <c r="V5" s="22">
        <v>0</v>
      </c>
      <c r="W5" s="25">
        <v>0</v>
      </c>
    </row>
    <row r="6" spans="1:23" x14ac:dyDescent="0.2">
      <c r="A6" s="6" t="s">
        <v>937</v>
      </c>
      <c r="B6" s="19">
        <v>0</v>
      </c>
      <c r="C6" s="16">
        <v>0</v>
      </c>
      <c r="D6" s="19">
        <v>0</v>
      </c>
      <c r="E6" s="16">
        <v>0</v>
      </c>
      <c r="F6" s="19">
        <v>0</v>
      </c>
      <c r="G6" s="16">
        <v>0</v>
      </c>
      <c r="H6" s="22">
        <v>0</v>
      </c>
      <c r="I6" s="25">
        <v>0</v>
      </c>
      <c r="J6" s="22">
        <v>4.666044527396347E-5</v>
      </c>
      <c r="K6" s="25">
        <v>0</v>
      </c>
      <c r="L6" s="22">
        <v>0</v>
      </c>
      <c r="M6" s="25">
        <v>0</v>
      </c>
      <c r="N6" s="19">
        <v>0</v>
      </c>
      <c r="O6" s="19">
        <v>4.7395611166405993E-4</v>
      </c>
      <c r="P6" s="16">
        <v>0</v>
      </c>
      <c r="Q6" s="19">
        <v>0</v>
      </c>
      <c r="R6" s="16">
        <v>0</v>
      </c>
      <c r="S6" s="25">
        <v>0</v>
      </c>
      <c r="T6" s="22">
        <v>0</v>
      </c>
      <c r="U6" s="25">
        <v>0</v>
      </c>
      <c r="V6" s="22">
        <v>0</v>
      </c>
      <c r="W6" s="25">
        <v>0</v>
      </c>
    </row>
    <row r="7" spans="1:23" x14ac:dyDescent="0.2">
      <c r="A7" s="6" t="s">
        <v>936</v>
      </c>
      <c r="B7" s="19">
        <v>0</v>
      </c>
      <c r="C7" s="16">
        <v>0</v>
      </c>
      <c r="D7" s="19">
        <v>0</v>
      </c>
      <c r="E7" s="16">
        <v>0</v>
      </c>
      <c r="F7" s="19">
        <v>0</v>
      </c>
      <c r="G7" s="16">
        <v>0</v>
      </c>
      <c r="H7" s="22">
        <v>1.7620915373922351E-4</v>
      </c>
      <c r="I7" s="25">
        <v>0</v>
      </c>
      <c r="J7" s="22">
        <v>0</v>
      </c>
      <c r="K7" s="25">
        <v>0</v>
      </c>
      <c r="L7" s="22">
        <v>0</v>
      </c>
      <c r="M7" s="25">
        <v>0</v>
      </c>
      <c r="N7" s="19">
        <v>0</v>
      </c>
      <c r="O7" s="19">
        <v>0</v>
      </c>
      <c r="P7" s="16">
        <v>0</v>
      </c>
      <c r="Q7" s="19">
        <v>0</v>
      </c>
      <c r="R7" s="16">
        <v>0</v>
      </c>
      <c r="S7" s="25">
        <v>0</v>
      </c>
      <c r="T7" s="22">
        <v>2.3377476748887992E-4</v>
      </c>
      <c r="U7" s="25">
        <v>0</v>
      </c>
      <c r="V7" s="22">
        <v>0</v>
      </c>
      <c r="W7" s="25">
        <v>0</v>
      </c>
    </row>
    <row r="8" spans="1:23" x14ac:dyDescent="0.2">
      <c r="A8" s="6" t="s">
        <v>935</v>
      </c>
      <c r="B8" s="19">
        <v>0</v>
      </c>
      <c r="C8" s="16">
        <v>0</v>
      </c>
      <c r="D8" s="19">
        <v>0</v>
      </c>
      <c r="E8" s="16">
        <v>0</v>
      </c>
      <c r="F8" s="19">
        <v>0</v>
      </c>
      <c r="G8" s="16">
        <v>0</v>
      </c>
      <c r="H8" s="22">
        <v>8.4841444392959472E-4</v>
      </c>
      <c r="I8" s="25">
        <v>5.6665979806305375E-4</v>
      </c>
      <c r="J8" s="22">
        <v>8.6655112651646451E-5</v>
      </c>
      <c r="K8" s="25">
        <v>0</v>
      </c>
      <c r="L8" s="22">
        <v>1.1558419201731303E-3</v>
      </c>
      <c r="M8" s="25">
        <v>1.0508812770202861E-3</v>
      </c>
      <c r="N8" s="19">
        <v>0</v>
      </c>
      <c r="O8" s="19">
        <v>0</v>
      </c>
      <c r="P8" s="16">
        <v>3.3626052430775597E-4</v>
      </c>
      <c r="Q8" s="19">
        <v>0</v>
      </c>
      <c r="R8" s="16">
        <v>0</v>
      </c>
      <c r="S8" s="25">
        <v>7.7286223086682948E-5</v>
      </c>
      <c r="T8" s="22">
        <v>1.2636473918317833E-3</v>
      </c>
      <c r="U8" s="25">
        <v>5.9842118665648077E-4</v>
      </c>
      <c r="V8" s="22">
        <v>5.0412436748145764E-5</v>
      </c>
      <c r="W8" s="25">
        <v>0</v>
      </c>
    </row>
    <row r="9" spans="1:23" x14ac:dyDescent="0.2">
      <c r="A9" s="6" t="s">
        <v>934</v>
      </c>
      <c r="B9" s="19">
        <v>1.1899095668729176E-3</v>
      </c>
      <c r="C9" s="16">
        <v>4.9860114678263758E-4</v>
      </c>
      <c r="D9" s="19">
        <v>3.3398472197548412E-4</v>
      </c>
      <c r="E9" s="16">
        <v>1.1547736304045103E-4</v>
      </c>
      <c r="F9" s="19">
        <v>9.0786331698162147E-4</v>
      </c>
      <c r="G9" s="16">
        <v>1.8252574301752937E-3</v>
      </c>
      <c r="H9" s="22">
        <v>5.6778505093749794E-4</v>
      </c>
      <c r="I9" s="25">
        <v>3.7991963733772924E-4</v>
      </c>
      <c r="J9" s="22">
        <v>6.4658045593920816E-4</v>
      </c>
      <c r="K9" s="25">
        <v>3.4853481326577119E-4</v>
      </c>
      <c r="L9" s="22">
        <v>2.6436809876300322E-4</v>
      </c>
      <c r="M9" s="25">
        <v>2.1948786165613569E-4</v>
      </c>
      <c r="N9" s="19">
        <v>9.5623434913311381E-5</v>
      </c>
      <c r="O9" s="19">
        <v>3.080714725816389E-4</v>
      </c>
      <c r="P9" s="16">
        <v>4.5912494665097456E-4</v>
      </c>
      <c r="Q9" s="19">
        <v>1.0008273506098373E-3</v>
      </c>
      <c r="R9" s="16">
        <v>1.8994844256558932E-3</v>
      </c>
      <c r="S9" s="25">
        <v>9.6607778858353671E-5</v>
      </c>
      <c r="T9" s="22">
        <v>1.7691063485644965E-4</v>
      </c>
      <c r="U9" s="25">
        <v>2.8647822765469827E-4</v>
      </c>
      <c r="V9" s="22">
        <v>3.2768083886294748E-4</v>
      </c>
      <c r="W9" s="25">
        <v>1.3187718936740161E-4</v>
      </c>
    </row>
    <row r="10" spans="1:23" x14ac:dyDescent="0.2">
      <c r="A10" s="6" t="s">
        <v>933</v>
      </c>
      <c r="B10" s="19">
        <v>3.6226135702575497E-3</v>
      </c>
      <c r="C10" s="16">
        <v>1.6343037588986459E-3</v>
      </c>
      <c r="D10" s="19">
        <v>4.0362408953632974E-3</v>
      </c>
      <c r="E10" s="16">
        <v>2.9073124341948849E-3</v>
      </c>
      <c r="F10" s="19">
        <v>2.3497638792465496E-3</v>
      </c>
      <c r="G10" s="16">
        <v>1.8769156593311982E-3</v>
      </c>
      <c r="H10" s="22">
        <v>8.4188817897629011E-4</v>
      </c>
      <c r="I10" s="25">
        <v>6.6324953636925606E-4</v>
      </c>
      <c r="J10" s="22">
        <v>8.3988801493134252E-4</v>
      </c>
      <c r="K10" s="25">
        <v>0</v>
      </c>
      <c r="L10" s="22">
        <v>1.1988785874136193E-3</v>
      </c>
      <c r="M10" s="25">
        <v>6.4516129032258054E-4</v>
      </c>
      <c r="N10" s="19">
        <v>4.9843715448563558E-3</v>
      </c>
      <c r="O10" s="19">
        <v>3.9496342638671664E-3</v>
      </c>
      <c r="P10" s="16">
        <v>6.8739411026758589E-3</v>
      </c>
      <c r="Q10" s="19">
        <v>6.4052950439029586E-3</v>
      </c>
      <c r="R10" s="16">
        <v>5.0914751710250065E-3</v>
      </c>
      <c r="S10" s="25">
        <v>3.2202592952784563E-4</v>
      </c>
      <c r="T10" s="22">
        <v>9.7932672866963199E-4</v>
      </c>
      <c r="U10" s="25">
        <v>5.0292844410491466E-4</v>
      </c>
      <c r="V10" s="22">
        <v>1.1531844906138345E-3</v>
      </c>
      <c r="W10" s="25">
        <v>2.1430043272202759E-4</v>
      </c>
    </row>
    <row r="11" spans="1:23" x14ac:dyDescent="0.2">
      <c r="A11" s="6" t="s">
        <v>932</v>
      </c>
      <c r="B11" s="19">
        <v>4.759638267491671E-4</v>
      </c>
      <c r="C11" s="16">
        <v>3.4625079637683168E-5</v>
      </c>
      <c r="D11" s="19">
        <v>9.9484810801208032E-5</v>
      </c>
      <c r="E11" s="16">
        <v>1.0868457697924803E-4</v>
      </c>
      <c r="F11" s="19">
        <v>7.5528124690067667E-4</v>
      </c>
      <c r="G11" s="16">
        <v>5.1658229155904537E-5</v>
      </c>
      <c r="H11" s="22">
        <v>3.3936577757183786E-4</v>
      </c>
      <c r="I11" s="25">
        <v>0</v>
      </c>
      <c r="J11" s="22">
        <v>0</v>
      </c>
      <c r="K11" s="25">
        <v>0</v>
      </c>
      <c r="L11" s="22">
        <v>2.2133143152251432E-4</v>
      </c>
      <c r="M11" s="25">
        <v>3.9906883937479216E-5</v>
      </c>
      <c r="N11" s="19">
        <v>0</v>
      </c>
      <c r="O11" s="19">
        <v>1.8958244466562397E-4</v>
      </c>
      <c r="P11" s="16">
        <v>7.1132033988179143E-5</v>
      </c>
      <c r="Q11" s="19">
        <v>2.8023165817075448E-4</v>
      </c>
      <c r="R11" s="16">
        <v>0</v>
      </c>
      <c r="S11" s="25">
        <v>0</v>
      </c>
      <c r="T11" s="22">
        <v>3.0327537403962798E-4</v>
      </c>
      <c r="U11" s="25">
        <v>1.2095747389865037E-4</v>
      </c>
      <c r="V11" s="22">
        <v>0</v>
      </c>
      <c r="W11" s="25">
        <v>0</v>
      </c>
    </row>
    <row r="12" spans="1:23" x14ac:dyDescent="0.2">
      <c r="A12" s="6" t="s">
        <v>931</v>
      </c>
      <c r="B12" s="19">
        <v>5.2884869638796342E-5</v>
      </c>
      <c r="C12" s="16">
        <v>0</v>
      </c>
      <c r="D12" s="19">
        <v>7.1060579143720029E-5</v>
      </c>
      <c r="E12" s="16">
        <v>0</v>
      </c>
      <c r="F12" s="19">
        <v>4.5774621024283436E-5</v>
      </c>
      <c r="G12" s="16">
        <v>8.6097048593174229E-5</v>
      </c>
      <c r="H12" s="22">
        <v>0</v>
      </c>
      <c r="I12" s="25">
        <v>1.931794766124047E-5</v>
      </c>
      <c r="J12" s="22">
        <v>0</v>
      </c>
      <c r="K12" s="25">
        <v>0</v>
      </c>
      <c r="L12" s="22">
        <v>0</v>
      </c>
      <c r="M12" s="25">
        <v>3.9906883937479216E-5</v>
      </c>
      <c r="N12" s="19">
        <v>0</v>
      </c>
      <c r="O12" s="19">
        <v>0</v>
      </c>
      <c r="P12" s="16">
        <v>0</v>
      </c>
      <c r="Q12" s="19">
        <v>0</v>
      </c>
      <c r="R12" s="16">
        <v>2.1422756680329623E-5</v>
      </c>
      <c r="S12" s="25">
        <v>0</v>
      </c>
      <c r="T12" s="22">
        <v>6.3182369591589164E-5</v>
      </c>
      <c r="U12" s="25">
        <v>0</v>
      </c>
      <c r="V12" s="22">
        <v>0</v>
      </c>
      <c r="W12" s="25">
        <v>0</v>
      </c>
    </row>
    <row r="13" spans="1:23" x14ac:dyDescent="0.2">
      <c r="A13" s="6" t="s">
        <v>930</v>
      </c>
      <c r="B13" s="19">
        <v>6.3461843566555614E-4</v>
      </c>
      <c r="C13" s="16">
        <v>5.3322622642032079E-4</v>
      </c>
      <c r="D13" s="19">
        <v>4.4768164860543614E-4</v>
      </c>
      <c r="E13" s="16">
        <v>2.5133308426451107E-4</v>
      </c>
      <c r="F13" s="19">
        <v>2.9753503665784232E-4</v>
      </c>
      <c r="G13" s="16">
        <v>3.013396700761098E-4</v>
      </c>
      <c r="H13" s="22">
        <v>1.7229339476724074E-3</v>
      </c>
      <c r="I13" s="25">
        <v>1.7579332371728828E-3</v>
      </c>
      <c r="J13" s="22">
        <v>9.5987201706439142E-4</v>
      </c>
      <c r="K13" s="25">
        <v>2.0979114721574304E-3</v>
      </c>
      <c r="L13" s="22">
        <v>2.2133143152251434E-3</v>
      </c>
      <c r="M13" s="25">
        <v>7.3827735284336549E-4</v>
      </c>
      <c r="N13" s="19">
        <v>3.0479969878618004E-4</v>
      </c>
      <c r="O13" s="19">
        <v>4.0286269491445089E-4</v>
      </c>
      <c r="P13" s="16">
        <v>4.1385910684031506E-4</v>
      </c>
      <c r="Q13" s="19">
        <v>0</v>
      </c>
      <c r="R13" s="16">
        <v>1.4281837786886417E-4</v>
      </c>
      <c r="S13" s="25">
        <v>1.0691260860324473E-3</v>
      </c>
      <c r="T13" s="22">
        <v>1.9144257986251517E-3</v>
      </c>
      <c r="U13" s="25">
        <v>1.0376878023936847E-3</v>
      </c>
      <c r="V13" s="22">
        <v>1.4493575565091907E-4</v>
      </c>
      <c r="W13" s="25">
        <v>4.4508551411498042E-4</v>
      </c>
    </row>
    <row r="14" spans="1:23" x14ac:dyDescent="0.2">
      <c r="A14" s="6" t="s">
        <v>929</v>
      </c>
      <c r="B14" s="19">
        <v>0</v>
      </c>
      <c r="C14" s="16">
        <v>0</v>
      </c>
      <c r="D14" s="19">
        <v>0</v>
      </c>
      <c r="E14" s="16">
        <v>0</v>
      </c>
      <c r="F14" s="19">
        <v>0</v>
      </c>
      <c r="G14" s="16">
        <v>0</v>
      </c>
      <c r="H14" s="22">
        <v>0</v>
      </c>
      <c r="I14" s="25">
        <v>0</v>
      </c>
      <c r="J14" s="22">
        <v>0</v>
      </c>
      <c r="K14" s="25">
        <v>0</v>
      </c>
      <c r="L14" s="22">
        <v>7.3777143840838107E-5</v>
      </c>
      <c r="M14" s="25">
        <v>0</v>
      </c>
      <c r="N14" s="19">
        <v>0</v>
      </c>
      <c r="O14" s="19">
        <v>0</v>
      </c>
      <c r="P14" s="16">
        <v>0</v>
      </c>
      <c r="Q14" s="19">
        <v>0</v>
      </c>
      <c r="R14" s="16">
        <v>0</v>
      </c>
      <c r="S14" s="25">
        <v>0</v>
      </c>
      <c r="T14" s="22">
        <v>1.4531945006065507E-4</v>
      </c>
      <c r="U14" s="25">
        <v>0</v>
      </c>
      <c r="V14" s="22">
        <v>0</v>
      </c>
      <c r="W14" s="25">
        <v>0</v>
      </c>
    </row>
    <row r="15" spans="1:23" x14ac:dyDescent="0.2">
      <c r="A15" s="6" t="s">
        <v>928</v>
      </c>
      <c r="B15" s="19">
        <v>3.3330689089851408E-2</v>
      </c>
      <c r="C15" s="16">
        <v>4.4451677238857637E-2</v>
      </c>
      <c r="D15" s="19">
        <v>3.2588381595309995E-2</v>
      </c>
      <c r="E15" s="16">
        <v>6.2031722310905806E-2</v>
      </c>
      <c r="F15" s="19">
        <v>3.240080258168862E-2</v>
      </c>
      <c r="G15" s="16">
        <v>3.1640665357991531E-2</v>
      </c>
      <c r="H15" s="22">
        <v>3.6605820123085366E-2</v>
      </c>
      <c r="I15" s="25">
        <v>4.2126004533278395E-2</v>
      </c>
      <c r="J15" s="22">
        <v>7.3990134648713526E-2</v>
      </c>
      <c r="K15" s="25">
        <v>6.2086114909246877E-2</v>
      </c>
      <c r="L15" s="22">
        <v>3.7029978112780644E-2</v>
      </c>
      <c r="M15" s="25">
        <v>2.3338875956102435E-2</v>
      </c>
      <c r="N15" s="19">
        <v>4.457247359896728E-2</v>
      </c>
      <c r="O15" s="19">
        <v>2.8579553533342801E-2</v>
      </c>
      <c r="P15" s="16">
        <v>5.8380000258661947E-2</v>
      </c>
      <c r="Q15" s="19">
        <v>2.7756278523579495E-2</v>
      </c>
      <c r="R15" s="16">
        <v>3.6661477598937425E-2</v>
      </c>
      <c r="S15" s="25">
        <v>5.9149722735674697E-2</v>
      </c>
      <c r="T15" s="22">
        <v>1.9384350990699552E-2</v>
      </c>
      <c r="U15" s="25">
        <v>1.8608352431881844E-2</v>
      </c>
      <c r="V15" s="22">
        <v>3.9328002218147209E-2</v>
      </c>
      <c r="W15" s="25">
        <v>4.9668246445497631E-2</v>
      </c>
    </row>
    <row r="16" spans="1:23" x14ac:dyDescent="0.2">
      <c r="A16" s="6" t="s">
        <v>927</v>
      </c>
      <c r="B16" s="19">
        <v>6.2800782696070649E-4</v>
      </c>
      <c r="C16" s="16">
        <v>3.116257167391485E-4</v>
      </c>
      <c r="D16" s="19">
        <v>3.126665482323681E-4</v>
      </c>
      <c r="E16" s="16">
        <v>2.4454029820330809E-4</v>
      </c>
      <c r="F16" s="19">
        <v>4.577462102428344E-4</v>
      </c>
      <c r="G16" s="16">
        <v>6.2850845473017187E-4</v>
      </c>
      <c r="H16" s="22">
        <v>6.0759526715265591E-3</v>
      </c>
      <c r="I16" s="25">
        <v>3.573820317329487E-3</v>
      </c>
      <c r="J16" s="22">
        <v>2.8996133848820157E-3</v>
      </c>
      <c r="K16" s="25">
        <v>2.1180192498458403E-3</v>
      </c>
      <c r="L16" s="22">
        <v>4.9123281607358045E-3</v>
      </c>
      <c r="M16" s="25">
        <v>3.5118057864981706E-3</v>
      </c>
      <c r="N16" s="19">
        <v>7.6498747930649094E-4</v>
      </c>
      <c r="O16" s="19">
        <v>9.4791222332811986E-5</v>
      </c>
      <c r="P16" s="16">
        <v>7.7598582532559067E-5</v>
      </c>
      <c r="Q16" s="19">
        <v>8.273506098374656E-4</v>
      </c>
      <c r="R16" s="16">
        <v>3.9989145803281966E-4</v>
      </c>
      <c r="S16" s="25">
        <v>3.7612628568852364E-3</v>
      </c>
      <c r="T16" s="22">
        <v>3.2602102709260007E-3</v>
      </c>
      <c r="U16" s="25">
        <v>5.8823529411764705E-3</v>
      </c>
      <c r="V16" s="22">
        <v>3.1003648600109648E-3</v>
      </c>
      <c r="W16" s="25">
        <v>1.0879868122810634E-3</v>
      </c>
    </row>
    <row r="17" spans="1:23" x14ac:dyDescent="0.2">
      <c r="A17" s="6" t="s">
        <v>926</v>
      </c>
      <c r="B17" s="19">
        <v>1.3221217409699085E-4</v>
      </c>
      <c r="C17" s="16">
        <v>0</v>
      </c>
      <c r="D17" s="19">
        <v>1.0659086871558003E-4</v>
      </c>
      <c r="E17" s="16">
        <v>4.754950242842102E-5</v>
      </c>
      <c r="F17" s="19">
        <v>1.4495296657689755E-4</v>
      </c>
      <c r="G17" s="16">
        <v>2.5829114577952269E-5</v>
      </c>
      <c r="H17" s="22">
        <v>5.5473252103088884E-4</v>
      </c>
      <c r="I17" s="25">
        <v>0</v>
      </c>
      <c r="J17" s="22">
        <v>0</v>
      </c>
      <c r="K17" s="25">
        <v>0</v>
      </c>
      <c r="L17" s="22">
        <v>0</v>
      </c>
      <c r="M17" s="25">
        <v>0</v>
      </c>
      <c r="N17" s="19">
        <v>0</v>
      </c>
      <c r="O17" s="19">
        <v>8.2152392688437058E-4</v>
      </c>
      <c r="P17" s="16">
        <v>0</v>
      </c>
      <c r="Q17" s="19">
        <v>1.7347674077237182E-4</v>
      </c>
      <c r="R17" s="16">
        <v>0</v>
      </c>
      <c r="S17" s="25">
        <v>3.8643111543341467E-5</v>
      </c>
      <c r="T17" s="22">
        <v>3.8541245450869393E-4</v>
      </c>
      <c r="U17" s="25">
        <v>0</v>
      </c>
      <c r="V17" s="22">
        <v>6.3015545935182212E-5</v>
      </c>
      <c r="W17" s="25">
        <v>0</v>
      </c>
    </row>
    <row r="18" spans="1:23" x14ac:dyDescent="0.2">
      <c r="A18" s="6" t="s">
        <v>925</v>
      </c>
      <c r="B18" s="19">
        <v>8.5937913163044056E-5</v>
      </c>
      <c r="C18" s="16">
        <v>0</v>
      </c>
      <c r="D18" s="19">
        <v>0</v>
      </c>
      <c r="E18" s="16">
        <v>0</v>
      </c>
      <c r="F18" s="19">
        <v>0</v>
      </c>
      <c r="G18" s="16">
        <v>0</v>
      </c>
      <c r="H18" s="22">
        <v>0</v>
      </c>
      <c r="I18" s="25">
        <v>0</v>
      </c>
      <c r="J18" s="22">
        <v>0</v>
      </c>
      <c r="K18" s="25">
        <v>0</v>
      </c>
      <c r="L18" s="22">
        <v>4.3036667240488894E-5</v>
      </c>
      <c r="M18" s="25">
        <v>0</v>
      </c>
      <c r="N18" s="19">
        <v>0</v>
      </c>
      <c r="O18" s="19">
        <v>0</v>
      </c>
      <c r="P18" s="16">
        <v>0</v>
      </c>
      <c r="Q18" s="19">
        <v>0</v>
      </c>
      <c r="R18" s="16">
        <v>0</v>
      </c>
      <c r="S18" s="25">
        <v>0</v>
      </c>
      <c r="T18" s="22">
        <v>3.7909421754953497E-5</v>
      </c>
      <c r="U18" s="25">
        <v>0</v>
      </c>
      <c r="V18" s="22">
        <v>4.4110882154627547E-5</v>
      </c>
      <c r="W18" s="25">
        <v>0</v>
      </c>
    </row>
    <row r="19" spans="1:23" x14ac:dyDescent="0.2">
      <c r="A19" s="6" t="s">
        <v>924</v>
      </c>
      <c r="B19" s="19">
        <v>0</v>
      </c>
      <c r="C19" s="16">
        <v>0</v>
      </c>
      <c r="D19" s="19">
        <v>0</v>
      </c>
      <c r="E19" s="16">
        <v>0</v>
      </c>
      <c r="F19" s="19">
        <v>0</v>
      </c>
      <c r="G19" s="16">
        <v>0</v>
      </c>
      <c r="H19" s="22">
        <v>1.1747276915948234E-4</v>
      </c>
      <c r="I19" s="25">
        <v>5.1514527096641252E-5</v>
      </c>
      <c r="J19" s="22">
        <v>1.9997333688841487E-5</v>
      </c>
      <c r="K19" s="25">
        <v>0</v>
      </c>
      <c r="L19" s="22">
        <v>4.9799572092565727E-4</v>
      </c>
      <c r="M19" s="25">
        <v>7.9813767874958432E-5</v>
      </c>
      <c r="N19" s="19">
        <v>0</v>
      </c>
      <c r="O19" s="19">
        <v>1.737839076101553E-4</v>
      </c>
      <c r="P19" s="16">
        <v>0</v>
      </c>
      <c r="Q19" s="19">
        <v>0</v>
      </c>
      <c r="R19" s="16">
        <v>0</v>
      </c>
      <c r="S19" s="25">
        <v>3.8643111543341467E-5</v>
      </c>
      <c r="T19" s="22">
        <v>5.8127780024262027E-4</v>
      </c>
      <c r="U19" s="25">
        <v>5.7295645530939649E-5</v>
      </c>
      <c r="V19" s="22">
        <v>0</v>
      </c>
      <c r="W19" s="25">
        <v>0</v>
      </c>
    </row>
    <row r="20" spans="1:23" x14ac:dyDescent="0.2">
      <c r="A20" s="6" t="s">
        <v>923</v>
      </c>
      <c r="B20" s="19">
        <v>1.2295732191020148E-3</v>
      </c>
      <c r="C20" s="16">
        <v>4.1550095565219802E-4</v>
      </c>
      <c r="D20" s="19">
        <v>4.3346953277669214E-4</v>
      </c>
      <c r="E20" s="16">
        <v>5.7738681520225514E-4</v>
      </c>
      <c r="F20" s="19">
        <v>5.7981186630759029E-4</v>
      </c>
      <c r="G20" s="16">
        <v>3.5299789923201434E-4</v>
      </c>
      <c r="H20" s="22">
        <v>1.4357782897270064E-4</v>
      </c>
      <c r="I20" s="25">
        <v>1.2878631774160314E-4</v>
      </c>
      <c r="J20" s="22">
        <v>2.6663111585121987E-4</v>
      </c>
      <c r="K20" s="25">
        <v>2.6810370251213168E-5</v>
      </c>
      <c r="L20" s="22">
        <v>2.9510857536335243E-4</v>
      </c>
      <c r="M20" s="25">
        <v>0</v>
      </c>
      <c r="N20" s="19">
        <v>3.2870555751450791E-4</v>
      </c>
      <c r="O20" s="19">
        <v>3.4756781522031065E-4</v>
      </c>
      <c r="P20" s="16">
        <v>4.0739255829593505E-4</v>
      </c>
      <c r="Q20" s="19">
        <v>4.8039712829272196E-4</v>
      </c>
      <c r="R20" s="16">
        <v>5.9269626815578629E-4</v>
      </c>
      <c r="S20" s="25">
        <v>2.5762074362227646E-4</v>
      </c>
      <c r="T20" s="22">
        <v>1.8954710877476749E-5</v>
      </c>
      <c r="U20" s="25">
        <v>0</v>
      </c>
      <c r="V20" s="22">
        <v>5.0412436748145764E-5</v>
      </c>
      <c r="W20" s="25">
        <v>1.1539254069647641E-4</v>
      </c>
    </row>
    <row r="21" spans="1:23" x14ac:dyDescent="0.2">
      <c r="A21" s="6" t="s">
        <v>922</v>
      </c>
      <c r="B21" s="19">
        <v>0</v>
      </c>
      <c r="C21" s="16">
        <v>0</v>
      </c>
      <c r="D21" s="19">
        <v>0</v>
      </c>
      <c r="E21" s="16">
        <v>0</v>
      </c>
      <c r="F21" s="19">
        <v>3.5093876118617303E-4</v>
      </c>
      <c r="G21" s="16">
        <v>1.0331645831180907E-4</v>
      </c>
      <c r="H21" s="22">
        <v>1.0964125121551685E-3</v>
      </c>
      <c r="I21" s="25">
        <v>0</v>
      </c>
      <c r="J21" s="22">
        <v>6.6657778962804954E-5</v>
      </c>
      <c r="K21" s="25">
        <v>0</v>
      </c>
      <c r="L21" s="22">
        <v>1.2296190640139685E-5</v>
      </c>
      <c r="M21" s="25">
        <v>0</v>
      </c>
      <c r="N21" s="19">
        <v>0</v>
      </c>
      <c r="O21" s="19">
        <v>0</v>
      </c>
      <c r="P21" s="16">
        <v>0</v>
      </c>
      <c r="Q21" s="19">
        <v>0</v>
      </c>
      <c r="R21" s="16">
        <v>0</v>
      </c>
      <c r="S21" s="25">
        <v>0</v>
      </c>
      <c r="T21" s="22">
        <v>8.8455317428224825E-5</v>
      </c>
      <c r="U21" s="25">
        <v>0</v>
      </c>
      <c r="V21" s="22">
        <v>0</v>
      </c>
      <c r="W21" s="25">
        <v>0</v>
      </c>
    </row>
    <row r="22" spans="1:23" x14ac:dyDescent="0.2">
      <c r="A22" s="6" t="s">
        <v>921</v>
      </c>
      <c r="B22" s="19">
        <v>0</v>
      </c>
      <c r="C22" s="16">
        <v>0</v>
      </c>
      <c r="D22" s="19">
        <v>0</v>
      </c>
      <c r="E22" s="16">
        <v>0</v>
      </c>
      <c r="F22" s="19">
        <v>0</v>
      </c>
      <c r="G22" s="16">
        <v>0</v>
      </c>
      <c r="H22" s="22">
        <v>0</v>
      </c>
      <c r="I22" s="25">
        <v>0</v>
      </c>
      <c r="J22" s="22">
        <v>3.3328889481402477E-5</v>
      </c>
      <c r="K22" s="25">
        <v>0</v>
      </c>
      <c r="L22" s="22">
        <v>0</v>
      </c>
      <c r="M22" s="25">
        <v>1.9953441968739608E-5</v>
      </c>
      <c r="N22" s="19">
        <v>0</v>
      </c>
      <c r="O22" s="19">
        <v>0</v>
      </c>
      <c r="P22" s="16">
        <v>0</v>
      </c>
      <c r="Q22" s="19">
        <v>0</v>
      </c>
      <c r="R22" s="16">
        <v>0</v>
      </c>
      <c r="S22" s="25">
        <v>0</v>
      </c>
      <c r="T22" s="22">
        <v>0</v>
      </c>
      <c r="U22" s="25">
        <v>0</v>
      </c>
      <c r="V22" s="22">
        <v>0</v>
      </c>
      <c r="W22" s="25">
        <v>0</v>
      </c>
    </row>
    <row r="23" spans="1:23" x14ac:dyDescent="0.2">
      <c r="A23" s="6" t="s">
        <v>920</v>
      </c>
      <c r="B23" s="19">
        <v>0</v>
      </c>
      <c r="C23" s="16">
        <v>0</v>
      </c>
      <c r="D23" s="19">
        <v>0</v>
      </c>
      <c r="E23" s="16">
        <v>0</v>
      </c>
      <c r="F23" s="19">
        <v>0</v>
      </c>
      <c r="G23" s="16">
        <v>0</v>
      </c>
      <c r="H23" s="22">
        <v>2.6105059813218297E-5</v>
      </c>
      <c r="I23" s="25">
        <v>0</v>
      </c>
      <c r="J23" s="22">
        <v>0</v>
      </c>
      <c r="K23" s="25">
        <v>0</v>
      </c>
      <c r="L23" s="22">
        <v>0</v>
      </c>
      <c r="M23" s="25">
        <v>0</v>
      </c>
      <c r="N23" s="19">
        <v>0</v>
      </c>
      <c r="O23" s="19">
        <v>0</v>
      </c>
      <c r="P23" s="16">
        <v>0</v>
      </c>
      <c r="Q23" s="19">
        <v>0</v>
      </c>
      <c r="R23" s="16">
        <v>0</v>
      </c>
      <c r="S23" s="25">
        <v>0</v>
      </c>
      <c r="T23" s="22">
        <v>0</v>
      </c>
      <c r="U23" s="25">
        <v>0</v>
      </c>
      <c r="V23" s="22">
        <v>0</v>
      </c>
      <c r="W23" s="25">
        <v>0</v>
      </c>
    </row>
    <row r="24" spans="1:23" x14ac:dyDescent="0.2">
      <c r="A24" s="6" t="s">
        <v>919</v>
      </c>
      <c r="B24" s="19">
        <v>0</v>
      </c>
      <c r="C24" s="16">
        <v>0</v>
      </c>
      <c r="D24" s="19">
        <v>4.2636347486232012E-5</v>
      </c>
      <c r="E24" s="16">
        <v>0</v>
      </c>
      <c r="F24" s="19">
        <v>5.3403724528330679E-5</v>
      </c>
      <c r="G24" s="16">
        <v>1.0331645831180907E-4</v>
      </c>
      <c r="H24" s="22">
        <v>4.568385467313202E-5</v>
      </c>
      <c r="I24" s="25">
        <v>0</v>
      </c>
      <c r="J24" s="22">
        <v>0</v>
      </c>
      <c r="K24" s="25">
        <v>0</v>
      </c>
      <c r="L24" s="22">
        <v>0</v>
      </c>
      <c r="M24" s="25">
        <v>0</v>
      </c>
      <c r="N24" s="19">
        <v>0</v>
      </c>
      <c r="O24" s="19">
        <v>0</v>
      </c>
      <c r="P24" s="16">
        <v>0</v>
      </c>
      <c r="Q24" s="19">
        <v>0</v>
      </c>
      <c r="R24" s="16">
        <v>0</v>
      </c>
      <c r="S24" s="25">
        <v>0</v>
      </c>
      <c r="T24" s="22">
        <v>8.2137080469065916E-5</v>
      </c>
      <c r="U24" s="25">
        <v>0</v>
      </c>
      <c r="V24" s="22">
        <v>0</v>
      </c>
      <c r="W24" s="25">
        <v>0</v>
      </c>
    </row>
    <row r="25" spans="1:23" x14ac:dyDescent="0.2">
      <c r="A25" s="6" t="s">
        <v>918</v>
      </c>
      <c r="B25" s="19">
        <v>7.4699878364799829E-4</v>
      </c>
      <c r="C25" s="16">
        <v>1.8005041411595248E-4</v>
      </c>
      <c r="D25" s="19">
        <v>8.6693906555338428E-4</v>
      </c>
      <c r="E25" s="16">
        <v>6.7248582005909724E-4</v>
      </c>
      <c r="F25" s="19">
        <v>1.6784027708903929E-4</v>
      </c>
      <c r="G25" s="16">
        <v>3.0994937493542722E-4</v>
      </c>
      <c r="H25" s="22">
        <v>8.2230938411637631E-4</v>
      </c>
      <c r="I25" s="25">
        <v>3.8635895322480942E-4</v>
      </c>
      <c r="J25" s="22">
        <v>4.2660978536195179E-4</v>
      </c>
      <c r="K25" s="25">
        <v>3.2842703557736132E-4</v>
      </c>
      <c r="L25" s="22">
        <v>1.2050266827336896E-3</v>
      </c>
      <c r="M25" s="25">
        <v>5.4539408047888272E-4</v>
      </c>
      <c r="N25" s="19">
        <v>1.1534576836418186E-3</v>
      </c>
      <c r="O25" s="19">
        <v>1.9353207892949115E-3</v>
      </c>
      <c r="P25" s="16">
        <v>2.2632919905329728E-4</v>
      </c>
      <c r="Q25" s="19">
        <v>7.2059569243908294E-4</v>
      </c>
      <c r="R25" s="16">
        <v>5.2128707922135425E-4</v>
      </c>
      <c r="S25" s="25">
        <v>3.6710955966174394E-4</v>
      </c>
      <c r="T25" s="22">
        <v>1.6490598463404771E-3</v>
      </c>
      <c r="U25" s="25">
        <v>2.8011204481792715E-4</v>
      </c>
      <c r="V25" s="22">
        <v>3.2137928426942923E-4</v>
      </c>
      <c r="W25" s="25">
        <v>2.8023902740572846E-4</v>
      </c>
    </row>
    <row r="26" spans="1:23" x14ac:dyDescent="0.2">
      <c r="A26" s="6" t="s">
        <v>917</v>
      </c>
      <c r="B26" s="19">
        <v>0</v>
      </c>
      <c r="C26" s="16">
        <v>0</v>
      </c>
      <c r="D26" s="19">
        <v>0</v>
      </c>
      <c r="E26" s="16">
        <v>0</v>
      </c>
      <c r="F26" s="19">
        <v>0</v>
      </c>
      <c r="G26" s="16">
        <v>0</v>
      </c>
      <c r="H26" s="22">
        <v>0</v>
      </c>
      <c r="I26" s="25">
        <v>0</v>
      </c>
      <c r="J26" s="22">
        <v>0</v>
      </c>
      <c r="K26" s="25">
        <v>0</v>
      </c>
      <c r="L26" s="22">
        <v>0</v>
      </c>
      <c r="M26" s="25">
        <v>0</v>
      </c>
      <c r="N26" s="19">
        <v>0</v>
      </c>
      <c r="O26" s="19">
        <v>0</v>
      </c>
      <c r="P26" s="16">
        <v>0</v>
      </c>
      <c r="Q26" s="19">
        <v>0</v>
      </c>
      <c r="R26" s="16">
        <v>0</v>
      </c>
      <c r="S26" s="25">
        <v>2.5762074362227647E-5</v>
      </c>
      <c r="T26" s="22">
        <v>0</v>
      </c>
      <c r="U26" s="25">
        <v>0</v>
      </c>
      <c r="V26" s="22">
        <v>0</v>
      </c>
      <c r="W26" s="25">
        <v>0</v>
      </c>
    </row>
    <row r="27" spans="1:23" x14ac:dyDescent="0.2">
      <c r="A27" s="6" t="s">
        <v>916</v>
      </c>
      <c r="B27" s="19">
        <v>1.0576973927759268E-4</v>
      </c>
      <c r="C27" s="16">
        <v>3.1855073266668515E-4</v>
      </c>
      <c r="D27" s="19">
        <v>1.6343933203055605E-4</v>
      </c>
      <c r="E27" s="16">
        <v>9.3740447644601412E-4</v>
      </c>
      <c r="F27" s="19">
        <v>5.8744096981163741E-4</v>
      </c>
      <c r="G27" s="16">
        <v>5.251919964183628E-4</v>
      </c>
      <c r="H27" s="22">
        <v>7.1788914486350318E-5</v>
      </c>
      <c r="I27" s="25">
        <v>7.7271790644961881E-5</v>
      </c>
      <c r="J27" s="22">
        <v>9.332089054792694E-5</v>
      </c>
      <c r="K27" s="25">
        <v>1.876725917584922E-4</v>
      </c>
      <c r="L27" s="22">
        <v>1.2296190640139685E-5</v>
      </c>
      <c r="M27" s="25">
        <v>6.6511473229132029E-5</v>
      </c>
      <c r="N27" s="19">
        <v>5.3190535670529459E-4</v>
      </c>
      <c r="O27" s="19">
        <v>0</v>
      </c>
      <c r="P27" s="16">
        <v>6.2078866026047254E-4</v>
      </c>
      <c r="Q27" s="19">
        <v>2.1217539832928552E-3</v>
      </c>
      <c r="R27" s="16">
        <v>4.5559062540167661E-3</v>
      </c>
      <c r="S27" s="25">
        <v>1.1592933463002439E-4</v>
      </c>
      <c r="T27" s="22">
        <v>1.5795592397897291E-4</v>
      </c>
      <c r="U27" s="25">
        <v>2.3554876496052966E-4</v>
      </c>
      <c r="V27" s="22">
        <v>1.197295372768462E-4</v>
      </c>
      <c r="W27" s="25">
        <v>1.1704100556356892E-3</v>
      </c>
    </row>
    <row r="28" spans="1:23" x14ac:dyDescent="0.2">
      <c r="A28" s="6" t="s">
        <v>915</v>
      </c>
      <c r="B28" s="19">
        <v>0</v>
      </c>
      <c r="C28" s="16">
        <v>0</v>
      </c>
      <c r="D28" s="19">
        <v>0</v>
      </c>
      <c r="E28" s="16">
        <v>1.3585572122406004E-5</v>
      </c>
      <c r="F28" s="19">
        <v>0</v>
      </c>
      <c r="G28" s="16">
        <v>0</v>
      </c>
      <c r="H28" s="22">
        <v>4.568385467313202E-5</v>
      </c>
      <c r="I28" s="25">
        <v>1.2878631774160313E-5</v>
      </c>
      <c r="J28" s="22">
        <v>0</v>
      </c>
      <c r="K28" s="25">
        <v>0</v>
      </c>
      <c r="L28" s="22">
        <v>0</v>
      </c>
      <c r="M28" s="25">
        <v>0</v>
      </c>
      <c r="N28" s="19">
        <v>1.0159989959539334E-4</v>
      </c>
      <c r="O28" s="19">
        <v>0</v>
      </c>
      <c r="P28" s="16">
        <v>0</v>
      </c>
      <c r="Q28" s="19">
        <v>0</v>
      </c>
      <c r="R28" s="16">
        <v>1.4281837786886417E-5</v>
      </c>
      <c r="S28" s="25">
        <v>2.5762074362227647E-5</v>
      </c>
      <c r="T28" s="22">
        <v>0</v>
      </c>
      <c r="U28" s="25">
        <v>0</v>
      </c>
      <c r="V28" s="22">
        <v>3.7809327561109323E-5</v>
      </c>
      <c r="W28" s="25">
        <v>0</v>
      </c>
    </row>
    <row r="29" spans="1:23" x14ac:dyDescent="0.2">
      <c r="A29" s="6" t="s">
        <v>914</v>
      </c>
      <c r="B29" s="19">
        <v>0</v>
      </c>
      <c r="C29" s="16">
        <v>0</v>
      </c>
      <c r="D29" s="19">
        <v>0</v>
      </c>
      <c r="E29" s="16">
        <v>0</v>
      </c>
      <c r="F29" s="19">
        <v>0</v>
      </c>
      <c r="G29" s="16">
        <v>0</v>
      </c>
      <c r="H29" s="22">
        <v>0</v>
      </c>
      <c r="I29" s="25">
        <v>0</v>
      </c>
      <c r="J29" s="22">
        <v>0</v>
      </c>
      <c r="K29" s="25">
        <v>0</v>
      </c>
      <c r="L29" s="22">
        <v>0</v>
      </c>
      <c r="M29" s="25">
        <v>0</v>
      </c>
      <c r="N29" s="19">
        <v>0</v>
      </c>
      <c r="O29" s="19">
        <v>0</v>
      </c>
      <c r="P29" s="16">
        <v>0</v>
      </c>
      <c r="Q29" s="19">
        <v>0</v>
      </c>
      <c r="R29" s="16">
        <v>2.1422756680329623E-5</v>
      </c>
      <c r="S29" s="25">
        <v>0</v>
      </c>
      <c r="T29" s="22">
        <v>0</v>
      </c>
      <c r="U29" s="25">
        <v>0</v>
      </c>
      <c r="V29" s="22">
        <v>0</v>
      </c>
      <c r="W29" s="25">
        <v>0</v>
      </c>
    </row>
    <row r="30" spans="1:23" x14ac:dyDescent="0.2">
      <c r="A30" s="6" t="s">
        <v>913</v>
      </c>
      <c r="B30" s="19">
        <v>0</v>
      </c>
      <c r="C30" s="16">
        <v>0</v>
      </c>
      <c r="D30" s="19">
        <v>0</v>
      </c>
      <c r="E30" s="16">
        <v>0</v>
      </c>
      <c r="F30" s="19">
        <v>0</v>
      </c>
      <c r="G30" s="16">
        <v>0</v>
      </c>
      <c r="H30" s="22">
        <v>0</v>
      </c>
      <c r="I30" s="25">
        <v>0</v>
      </c>
      <c r="J30" s="22">
        <v>0</v>
      </c>
      <c r="K30" s="25">
        <v>0</v>
      </c>
      <c r="L30" s="22">
        <v>0</v>
      </c>
      <c r="M30" s="25">
        <v>0</v>
      </c>
      <c r="N30" s="19">
        <v>0</v>
      </c>
      <c r="O30" s="19">
        <v>0</v>
      </c>
      <c r="P30" s="16">
        <v>0</v>
      </c>
      <c r="Q30" s="19">
        <v>0</v>
      </c>
      <c r="R30" s="16">
        <v>0</v>
      </c>
      <c r="S30" s="25">
        <v>0</v>
      </c>
      <c r="T30" s="22">
        <v>1.2004650222401941E-4</v>
      </c>
      <c r="U30" s="25">
        <v>0</v>
      </c>
      <c r="V30" s="22">
        <v>0</v>
      </c>
      <c r="W30" s="25">
        <v>0</v>
      </c>
    </row>
    <row r="31" spans="1:23" x14ac:dyDescent="0.2">
      <c r="A31" s="6" t="s">
        <v>912</v>
      </c>
      <c r="B31" s="19">
        <v>0</v>
      </c>
      <c r="C31" s="16">
        <v>0</v>
      </c>
      <c r="D31" s="19">
        <v>0</v>
      </c>
      <c r="E31" s="16">
        <v>0</v>
      </c>
      <c r="F31" s="19">
        <v>4.5774621024283436E-5</v>
      </c>
      <c r="G31" s="16">
        <v>0</v>
      </c>
      <c r="H31" s="22">
        <v>0</v>
      </c>
      <c r="I31" s="25">
        <v>0</v>
      </c>
      <c r="J31" s="22">
        <v>0</v>
      </c>
      <c r="K31" s="25">
        <v>0</v>
      </c>
      <c r="L31" s="22">
        <v>0</v>
      </c>
      <c r="M31" s="25">
        <v>0</v>
      </c>
      <c r="N31" s="19">
        <v>0</v>
      </c>
      <c r="O31" s="19">
        <v>0</v>
      </c>
      <c r="P31" s="16">
        <v>0</v>
      </c>
      <c r="Q31" s="19">
        <v>0</v>
      </c>
      <c r="R31" s="16">
        <v>0</v>
      </c>
      <c r="S31" s="25">
        <v>0</v>
      </c>
      <c r="T31" s="22">
        <v>0</v>
      </c>
      <c r="U31" s="25">
        <v>0</v>
      </c>
      <c r="V31" s="22">
        <v>0</v>
      </c>
      <c r="W31" s="25">
        <v>0</v>
      </c>
    </row>
    <row r="32" spans="1:23" x14ac:dyDescent="0.2">
      <c r="A32" s="6" t="s">
        <v>911</v>
      </c>
      <c r="B32" s="19">
        <v>0</v>
      </c>
      <c r="C32" s="16">
        <v>0</v>
      </c>
      <c r="D32" s="19">
        <v>0</v>
      </c>
      <c r="E32" s="16">
        <v>0</v>
      </c>
      <c r="F32" s="19">
        <v>0</v>
      </c>
      <c r="G32" s="16">
        <v>2.5829114577952269E-5</v>
      </c>
      <c r="H32" s="22">
        <v>0</v>
      </c>
      <c r="I32" s="25">
        <v>0</v>
      </c>
      <c r="J32" s="22">
        <v>0</v>
      </c>
      <c r="K32" s="25">
        <v>0</v>
      </c>
      <c r="L32" s="22">
        <v>0</v>
      </c>
      <c r="M32" s="25">
        <v>0</v>
      </c>
      <c r="N32" s="19">
        <v>0</v>
      </c>
      <c r="O32" s="19">
        <v>0</v>
      </c>
      <c r="P32" s="16">
        <v>0</v>
      </c>
      <c r="Q32" s="19">
        <v>0</v>
      </c>
      <c r="R32" s="16">
        <v>0</v>
      </c>
      <c r="S32" s="25">
        <v>0</v>
      </c>
      <c r="T32" s="22">
        <v>0</v>
      </c>
      <c r="U32" s="25">
        <v>0</v>
      </c>
      <c r="V32" s="22">
        <v>0</v>
      </c>
      <c r="W32" s="25">
        <v>0</v>
      </c>
    </row>
    <row r="33" spans="1:23" x14ac:dyDescent="0.2">
      <c r="A33" s="6" t="s">
        <v>910</v>
      </c>
      <c r="B33" s="19">
        <v>0</v>
      </c>
      <c r="C33" s="16">
        <v>0</v>
      </c>
      <c r="D33" s="19">
        <v>0</v>
      </c>
      <c r="E33" s="16">
        <v>0</v>
      </c>
      <c r="F33" s="19">
        <v>0</v>
      </c>
      <c r="G33" s="16">
        <v>0</v>
      </c>
      <c r="H33" s="22">
        <v>0</v>
      </c>
      <c r="I33" s="25">
        <v>0</v>
      </c>
      <c r="J33" s="22">
        <v>0</v>
      </c>
      <c r="K33" s="25">
        <v>0</v>
      </c>
      <c r="L33" s="22">
        <v>0</v>
      </c>
      <c r="M33" s="25">
        <v>0</v>
      </c>
      <c r="N33" s="19">
        <v>0</v>
      </c>
      <c r="O33" s="19">
        <v>0</v>
      </c>
      <c r="P33" s="16">
        <v>4.5265839810659458E-5</v>
      </c>
      <c r="Q33" s="19">
        <v>0</v>
      </c>
      <c r="R33" s="16">
        <v>3.2134135020494436E-4</v>
      </c>
      <c r="S33" s="25">
        <v>0</v>
      </c>
      <c r="T33" s="22">
        <v>0</v>
      </c>
      <c r="U33" s="25">
        <v>0</v>
      </c>
      <c r="V33" s="22">
        <v>3.7809327561109323E-5</v>
      </c>
      <c r="W33" s="25">
        <v>0</v>
      </c>
    </row>
    <row r="34" spans="1:23" x14ac:dyDescent="0.2">
      <c r="A34" s="6" t="s">
        <v>909</v>
      </c>
      <c r="B34" s="19">
        <v>2.1815008726003491E-4</v>
      </c>
      <c r="C34" s="16">
        <v>6.024763856956871E-4</v>
      </c>
      <c r="D34" s="19">
        <v>3.5530289571860009E-4</v>
      </c>
      <c r="E34" s="16">
        <v>4.6870223822300712E-4</v>
      </c>
      <c r="F34" s="19">
        <v>0</v>
      </c>
      <c r="G34" s="16">
        <v>1.894135069049833E-4</v>
      </c>
      <c r="H34" s="22">
        <v>2.0884047850574638E-4</v>
      </c>
      <c r="I34" s="25">
        <v>4.7007005975685143E-4</v>
      </c>
      <c r="J34" s="22">
        <v>1.1998400213304893E-4</v>
      </c>
      <c r="K34" s="25">
        <v>9.3836295879246099E-5</v>
      </c>
      <c r="L34" s="22">
        <v>9.8369525121117481E-5</v>
      </c>
      <c r="M34" s="25">
        <v>8.6464915197871634E-5</v>
      </c>
      <c r="N34" s="19">
        <v>2.0319979919078667E-4</v>
      </c>
      <c r="O34" s="19">
        <v>2.6067586141523296E-4</v>
      </c>
      <c r="P34" s="16">
        <v>4.2032565538469501E-4</v>
      </c>
      <c r="Q34" s="19">
        <v>1.6013237609757399E-4</v>
      </c>
      <c r="R34" s="16">
        <v>0</v>
      </c>
      <c r="S34" s="25">
        <v>2.4473970644116262E-4</v>
      </c>
      <c r="T34" s="22">
        <v>2.0218358269308534E-4</v>
      </c>
      <c r="U34" s="25">
        <v>1.9735166793990322E-4</v>
      </c>
      <c r="V34" s="22">
        <v>3.1507772967591103E-4</v>
      </c>
      <c r="W34" s="25">
        <v>2.3078508139295282E-4</v>
      </c>
    </row>
    <row r="35" spans="1:23" x14ac:dyDescent="0.2">
      <c r="A35" s="6" t="s">
        <v>908</v>
      </c>
      <c r="B35" s="19">
        <v>0</v>
      </c>
      <c r="C35" s="16">
        <v>0</v>
      </c>
      <c r="D35" s="19">
        <v>0</v>
      </c>
      <c r="E35" s="16">
        <v>0</v>
      </c>
      <c r="F35" s="19">
        <v>0</v>
      </c>
      <c r="G35" s="16">
        <v>0</v>
      </c>
      <c r="H35" s="22">
        <v>0</v>
      </c>
      <c r="I35" s="25">
        <v>0</v>
      </c>
      <c r="J35" s="22">
        <v>6.6657778962804954E-5</v>
      </c>
      <c r="K35" s="25">
        <v>0</v>
      </c>
      <c r="L35" s="22">
        <v>0</v>
      </c>
      <c r="M35" s="25">
        <v>0</v>
      </c>
      <c r="N35" s="19">
        <v>0</v>
      </c>
      <c r="O35" s="19">
        <v>0</v>
      </c>
      <c r="P35" s="16">
        <v>0</v>
      </c>
      <c r="Q35" s="19">
        <v>0</v>
      </c>
      <c r="R35" s="16">
        <v>0</v>
      </c>
      <c r="S35" s="25">
        <v>0</v>
      </c>
      <c r="T35" s="22">
        <v>0</v>
      </c>
      <c r="U35" s="25">
        <v>0</v>
      </c>
      <c r="V35" s="22">
        <v>0</v>
      </c>
      <c r="W35" s="25">
        <v>0</v>
      </c>
    </row>
    <row r="36" spans="1:23" x14ac:dyDescent="0.2">
      <c r="A36" s="6" t="s">
        <v>907</v>
      </c>
      <c r="B36" s="19">
        <v>0</v>
      </c>
      <c r="C36" s="16">
        <v>0</v>
      </c>
      <c r="D36" s="19">
        <v>0</v>
      </c>
      <c r="E36" s="16">
        <v>0</v>
      </c>
      <c r="F36" s="19">
        <v>0</v>
      </c>
      <c r="G36" s="16">
        <v>0</v>
      </c>
      <c r="H36" s="22">
        <v>0</v>
      </c>
      <c r="I36" s="25">
        <v>0</v>
      </c>
      <c r="J36" s="22">
        <v>0</v>
      </c>
      <c r="K36" s="25">
        <v>0</v>
      </c>
      <c r="L36" s="22">
        <v>0</v>
      </c>
      <c r="M36" s="25">
        <v>0</v>
      </c>
      <c r="N36" s="19">
        <v>0</v>
      </c>
      <c r="O36" s="19">
        <v>0</v>
      </c>
      <c r="P36" s="16">
        <v>0</v>
      </c>
      <c r="Q36" s="19">
        <v>0</v>
      </c>
      <c r="R36" s="16">
        <v>0</v>
      </c>
      <c r="S36" s="25">
        <v>0</v>
      </c>
      <c r="T36" s="22">
        <v>0</v>
      </c>
      <c r="U36" s="25">
        <v>1.2732365673542144E-5</v>
      </c>
      <c r="V36" s="22">
        <v>0</v>
      </c>
      <c r="W36" s="25">
        <v>0</v>
      </c>
    </row>
    <row r="37" spans="1:23" x14ac:dyDescent="0.2">
      <c r="A37" s="6" t="s">
        <v>906</v>
      </c>
      <c r="B37" s="19">
        <v>4.6274260933946797E-5</v>
      </c>
      <c r="C37" s="16">
        <v>0</v>
      </c>
      <c r="D37" s="19">
        <v>1.4212115828744006E-4</v>
      </c>
      <c r="E37" s="16">
        <v>0</v>
      </c>
      <c r="F37" s="19">
        <v>6.4084469433996812E-4</v>
      </c>
      <c r="G37" s="16">
        <v>1.7219409718634846E-5</v>
      </c>
      <c r="H37" s="22">
        <v>9.1367709346264041E-5</v>
      </c>
      <c r="I37" s="25">
        <v>0</v>
      </c>
      <c r="J37" s="22">
        <v>1.5997866951073189E-4</v>
      </c>
      <c r="K37" s="25">
        <v>0</v>
      </c>
      <c r="L37" s="22">
        <v>2.33627622162654E-4</v>
      </c>
      <c r="M37" s="25">
        <v>1.7292983039574327E-4</v>
      </c>
      <c r="N37" s="19">
        <v>9.5025788445103187E-4</v>
      </c>
      <c r="O37" s="19">
        <v>2.9227293552617025E-4</v>
      </c>
      <c r="P37" s="16">
        <v>2.5866194177519691E-5</v>
      </c>
      <c r="Q37" s="19">
        <v>1.3344364674797832E-4</v>
      </c>
      <c r="R37" s="16">
        <v>1.4281837786886417E-5</v>
      </c>
      <c r="S37" s="25">
        <v>3.2202592952784557E-5</v>
      </c>
      <c r="T37" s="22">
        <v>1.9586534573392639E-4</v>
      </c>
      <c r="U37" s="25">
        <v>7.6394194041252861E-5</v>
      </c>
      <c r="V37" s="22">
        <v>5.0412436748145764E-5</v>
      </c>
      <c r="W37" s="25">
        <v>0</v>
      </c>
    </row>
    <row r="38" spans="1:23" x14ac:dyDescent="0.2">
      <c r="A38" s="6" t="s">
        <v>905</v>
      </c>
      <c r="B38" s="19">
        <v>0</v>
      </c>
      <c r="C38" s="16">
        <v>0</v>
      </c>
      <c r="D38" s="19">
        <v>0</v>
      </c>
      <c r="E38" s="16">
        <v>0</v>
      </c>
      <c r="F38" s="19">
        <v>0</v>
      </c>
      <c r="G38" s="16">
        <v>0</v>
      </c>
      <c r="H38" s="22">
        <v>0</v>
      </c>
      <c r="I38" s="25">
        <v>1.931794766124047E-5</v>
      </c>
      <c r="J38" s="22">
        <v>0</v>
      </c>
      <c r="K38" s="25">
        <v>0</v>
      </c>
      <c r="L38" s="22">
        <v>0</v>
      </c>
      <c r="M38" s="25">
        <v>0</v>
      </c>
      <c r="N38" s="19">
        <v>0</v>
      </c>
      <c r="O38" s="19">
        <v>0</v>
      </c>
      <c r="P38" s="16">
        <v>0</v>
      </c>
      <c r="Q38" s="19">
        <v>0</v>
      </c>
      <c r="R38" s="16">
        <v>0</v>
      </c>
      <c r="S38" s="25">
        <v>0</v>
      </c>
      <c r="T38" s="22">
        <v>0</v>
      </c>
      <c r="U38" s="25">
        <v>0</v>
      </c>
      <c r="V38" s="22">
        <v>0</v>
      </c>
      <c r="W38" s="25">
        <v>0</v>
      </c>
    </row>
    <row r="39" spans="1:23" x14ac:dyDescent="0.2">
      <c r="A39" s="6" t="s">
        <v>904</v>
      </c>
      <c r="B39" s="19">
        <v>1.0576973927759268E-4</v>
      </c>
      <c r="C39" s="16">
        <v>0</v>
      </c>
      <c r="D39" s="19">
        <v>1.6343933203055605E-4</v>
      </c>
      <c r="E39" s="16">
        <v>1.0868457697924803E-4</v>
      </c>
      <c r="F39" s="19">
        <v>8.392013854451963E-5</v>
      </c>
      <c r="G39" s="16">
        <v>0</v>
      </c>
      <c r="H39" s="22">
        <v>1.1747276915948234E-4</v>
      </c>
      <c r="I39" s="25">
        <v>5.7953842983721407E-5</v>
      </c>
      <c r="J39" s="22">
        <v>0</v>
      </c>
      <c r="K39" s="25">
        <v>1.3405185125606584E-5</v>
      </c>
      <c r="L39" s="22">
        <v>6.7629048520768267E-5</v>
      </c>
      <c r="M39" s="25">
        <v>1.0641835716661124E-4</v>
      </c>
      <c r="N39" s="19">
        <v>2.6296444601160631E-4</v>
      </c>
      <c r="O39" s="19">
        <v>1.3428756497148363E-4</v>
      </c>
      <c r="P39" s="16">
        <v>2.4572884468643708E-4</v>
      </c>
      <c r="Q39" s="19">
        <v>1.4678801142277615E-4</v>
      </c>
      <c r="R39" s="16">
        <v>1.1425470229509134E-4</v>
      </c>
      <c r="S39" s="25">
        <v>0</v>
      </c>
      <c r="T39" s="22">
        <v>1.9586534573392639E-4</v>
      </c>
      <c r="U39" s="25">
        <v>0</v>
      </c>
      <c r="V39" s="22">
        <v>5.0412436748145764E-5</v>
      </c>
      <c r="W39" s="25">
        <v>0</v>
      </c>
    </row>
    <row r="40" spans="1:23" x14ac:dyDescent="0.2">
      <c r="A40" s="6" t="s">
        <v>903</v>
      </c>
      <c r="B40" s="19">
        <v>1.520440002115395E-4</v>
      </c>
      <c r="C40" s="16">
        <v>0</v>
      </c>
      <c r="D40" s="19">
        <v>3.4109077988985609E-4</v>
      </c>
      <c r="E40" s="16">
        <v>1.2906293516285703E-4</v>
      </c>
      <c r="F40" s="19">
        <v>4.0434248571450369E-4</v>
      </c>
      <c r="G40" s="16">
        <v>3.013396700761098E-4</v>
      </c>
      <c r="H40" s="22">
        <v>3.3283951261853337E-4</v>
      </c>
      <c r="I40" s="25">
        <v>4.9582732330517203E-4</v>
      </c>
      <c r="J40" s="22">
        <v>4.3994134115451269E-4</v>
      </c>
      <c r="K40" s="25">
        <v>4.0885814633100082E-4</v>
      </c>
      <c r="L40" s="22">
        <v>3.0740476600349208E-4</v>
      </c>
      <c r="M40" s="25">
        <v>1.1306950448952444E-4</v>
      </c>
      <c r="N40" s="19">
        <v>1.55388081734131E-4</v>
      </c>
      <c r="O40" s="19">
        <v>8.6891953805077649E-5</v>
      </c>
      <c r="P40" s="16">
        <v>1.0346477671007877E-4</v>
      </c>
      <c r="Q40" s="19">
        <v>3.736422108943393E-4</v>
      </c>
      <c r="R40" s="16">
        <v>3.5704594467216042E-5</v>
      </c>
      <c r="S40" s="25">
        <v>2.4473970644116262E-4</v>
      </c>
      <c r="T40" s="22">
        <v>2.8432066316215124E-4</v>
      </c>
      <c r="U40" s="25">
        <v>2.037178507766743E-4</v>
      </c>
      <c r="V40" s="22">
        <v>3.5288705723702043E-4</v>
      </c>
      <c r="W40" s="25">
        <v>6.9235524417885852E-4</v>
      </c>
    </row>
    <row r="41" spans="1:23" x14ac:dyDescent="0.2">
      <c r="A41" s="6" t="s">
        <v>902</v>
      </c>
      <c r="B41" s="19">
        <v>0</v>
      </c>
      <c r="C41" s="16">
        <v>0</v>
      </c>
      <c r="D41" s="19">
        <v>0</v>
      </c>
      <c r="E41" s="16">
        <v>0</v>
      </c>
      <c r="F41" s="19">
        <v>4.5774621024283436E-5</v>
      </c>
      <c r="G41" s="16">
        <v>0</v>
      </c>
      <c r="H41" s="22">
        <v>0</v>
      </c>
      <c r="I41" s="25">
        <v>3.155264784669277E-4</v>
      </c>
      <c r="J41" s="22">
        <v>1.4664711371817091E-4</v>
      </c>
      <c r="K41" s="25">
        <v>2.2118555457250865E-4</v>
      </c>
      <c r="L41" s="22">
        <v>0</v>
      </c>
      <c r="M41" s="25">
        <v>0</v>
      </c>
      <c r="N41" s="19">
        <v>0</v>
      </c>
      <c r="O41" s="19">
        <v>2.2117951877656129E-4</v>
      </c>
      <c r="P41" s="16">
        <v>0</v>
      </c>
      <c r="Q41" s="19">
        <v>0</v>
      </c>
      <c r="R41" s="16">
        <v>0</v>
      </c>
      <c r="S41" s="25">
        <v>2.1253711348837809E-4</v>
      </c>
      <c r="T41" s="22">
        <v>6.9500606550748073E-5</v>
      </c>
      <c r="U41" s="25">
        <v>3.4377387318563791E-4</v>
      </c>
      <c r="V41" s="22">
        <v>6.3015545935182212E-5</v>
      </c>
      <c r="W41" s="25">
        <v>4.368431897795178E-4</v>
      </c>
    </row>
    <row r="42" spans="1:23" x14ac:dyDescent="0.2">
      <c r="A42" s="6" t="s">
        <v>901</v>
      </c>
      <c r="B42" s="19">
        <v>0</v>
      </c>
      <c r="C42" s="16">
        <v>1.454253344782693E-4</v>
      </c>
      <c r="D42" s="19">
        <v>1.3501510037306803E-4</v>
      </c>
      <c r="E42" s="16">
        <v>6.792786061203002E-5</v>
      </c>
      <c r="F42" s="19">
        <v>6.8661931536425158E-5</v>
      </c>
      <c r="G42" s="16">
        <v>2.7551055549815753E-4</v>
      </c>
      <c r="H42" s="22">
        <v>9.1367709346264041E-5</v>
      </c>
      <c r="I42" s="25">
        <v>9.0150422419122192E-5</v>
      </c>
      <c r="J42" s="22">
        <v>0</v>
      </c>
      <c r="K42" s="25">
        <v>4.6918147939623043E-5</v>
      </c>
      <c r="L42" s="22">
        <v>1.16813811081327E-4</v>
      </c>
      <c r="M42" s="25">
        <v>1.9953441968739608E-5</v>
      </c>
      <c r="N42" s="19">
        <v>2.2112919323703255E-4</v>
      </c>
      <c r="O42" s="19">
        <v>0</v>
      </c>
      <c r="P42" s="16">
        <v>8.4065131076938992E-5</v>
      </c>
      <c r="Q42" s="19">
        <v>2.6688729349595664E-5</v>
      </c>
      <c r="R42" s="16">
        <v>1.4995929676230737E-4</v>
      </c>
      <c r="S42" s="25">
        <v>0</v>
      </c>
      <c r="T42" s="22">
        <v>5.0545895673271327E-5</v>
      </c>
      <c r="U42" s="25">
        <v>1.0822510822510823E-4</v>
      </c>
      <c r="V42" s="22">
        <v>2.5836373833424705E-4</v>
      </c>
      <c r="W42" s="25">
        <v>0</v>
      </c>
    </row>
    <row r="43" spans="1:23" x14ac:dyDescent="0.2">
      <c r="A43" s="6" t="s">
        <v>900</v>
      </c>
      <c r="B43" s="19">
        <v>0</v>
      </c>
      <c r="C43" s="16">
        <v>0</v>
      </c>
      <c r="D43" s="19">
        <v>0</v>
      </c>
      <c r="E43" s="16">
        <v>0</v>
      </c>
      <c r="F43" s="19">
        <v>0</v>
      </c>
      <c r="G43" s="16">
        <v>0</v>
      </c>
      <c r="H43" s="22">
        <v>0</v>
      </c>
      <c r="I43" s="25">
        <v>0</v>
      </c>
      <c r="J43" s="22">
        <v>0</v>
      </c>
      <c r="K43" s="25">
        <v>0</v>
      </c>
      <c r="L43" s="22">
        <v>0</v>
      </c>
      <c r="M43" s="25">
        <v>0</v>
      </c>
      <c r="N43" s="19">
        <v>0</v>
      </c>
      <c r="O43" s="19">
        <v>7.1093416749608989E-5</v>
      </c>
      <c r="P43" s="16">
        <v>0</v>
      </c>
      <c r="Q43" s="19">
        <v>0</v>
      </c>
      <c r="R43" s="16">
        <v>0</v>
      </c>
      <c r="S43" s="25">
        <v>0</v>
      </c>
      <c r="T43" s="22">
        <v>0</v>
      </c>
      <c r="U43" s="25">
        <v>0</v>
      </c>
      <c r="V43" s="22">
        <v>0</v>
      </c>
      <c r="W43" s="25">
        <v>0</v>
      </c>
    </row>
    <row r="44" spans="1:23" x14ac:dyDescent="0.2">
      <c r="A44" s="6" t="s">
        <v>899</v>
      </c>
      <c r="B44" s="19">
        <v>2.6442434819398171E-5</v>
      </c>
      <c r="C44" s="16">
        <v>0</v>
      </c>
      <c r="D44" s="19">
        <v>0</v>
      </c>
      <c r="E44" s="16">
        <v>0</v>
      </c>
      <c r="F44" s="19">
        <v>0</v>
      </c>
      <c r="G44" s="16">
        <v>0</v>
      </c>
      <c r="H44" s="22">
        <v>1.9578794859913723E-5</v>
      </c>
      <c r="I44" s="25">
        <v>0</v>
      </c>
      <c r="J44" s="22">
        <v>0</v>
      </c>
      <c r="K44" s="25">
        <v>0</v>
      </c>
      <c r="L44" s="22">
        <v>0</v>
      </c>
      <c r="M44" s="25">
        <v>0</v>
      </c>
      <c r="N44" s="19">
        <v>0</v>
      </c>
      <c r="O44" s="19">
        <v>0</v>
      </c>
      <c r="P44" s="16">
        <v>0</v>
      </c>
      <c r="Q44" s="19">
        <v>0</v>
      </c>
      <c r="R44" s="16">
        <v>0</v>
      </c>
      <c r="S44" s="25">
        <v>0</v>
      </c>
      <c r="T44" s="22">
        <v>0</v>
      </c>
      <c r="U44" s="25">
        <v>0</v>
      </c>
      <c r="V44" s="22">
        <v>0</v>
      </c>
      <c r="W44" s="25">
        <v>0</v>
      </c>
    </row>
    <row r="45" spans="1:23" x14ac:dyDescent="0.2">
      <c r="A45" s="6" t="s">
        <v>898</v>
      </c>
      <c r="B45" s="19">
        <v>0</v>
      </c>
      <c r="C45" s="16">
        <v>2.7700063710146532E-5</v>
      </c>
      <c r="D45" s="19">
        <v>0</v>
      </c>
      <c r="E45" s="16">
        <v>0</v>
      </c>
      <c r="F45" s="19">
        <v>0</v>
      </c>
      <c r="G45" s="16">
        <v>1.119261631711265E-4</v>
      </c>
      <c r="H45" s="22">
        <v>0</v>
      </c>
      <c r="I45" s="25">
        <v>6.4393158870801565E-6</v>
      </c>
      <c r="J45" s="22">
        <v>0</v>
      </c>
      <c r="K45" s="25">
        <v>0</v>
      </c>
      <c r="L45" s="22">
        <v>0</v>
      </c>
      <c r="M45" s="25">
        <v>1.5297638842700365E-4</v>
      </c>
      <c r="N45" s="19">
        <v>4.7811717456655691E-5</v>
      </c>
      <c r="O45" s="19">
        <v>0</v>
      </c>
      <c r="P45" s="16">
        <v>0</v>
      </c>
      <c r="Q45" s="19">
        <v>0</v>
      </c>
      <c r="R45" s="16">
        <v>0</v>
      </c>
      <c r="S45" s="25">
        <v>5.1524148724455294E-5</v>
      </c>
      <c r="T45" s="22">
        <v>9.4773554387383746E-5</v>
      </c>
      <c r="U45" s="25">
        <v>3.819709702062643E-5</v>
      </c>
      <c r="V45" s="22">
        <v>4.4110882154627547E-5</v>
      </c>
      <c r="W45" s="25">
        <v>0</v>
      </c>
    </row>
    <row r="46" spans="1:23" x14ac:dyDescent="0.2">
      <c r="A46" s="6" t="s">
        <v>897</v>
      </c>
      <c r="B46" s="19">
        <v>3.3053043524247713E-5</v>
      </c>
      <c r="C46" s="16">
        <v>0</v>
      </c>
      <c r="D46" s="19">
        <v>0</v>
      </c>
      <c r="E46" s="16">
        <v>0</v>
      </c>
      <c r="F46" s="19">
        <v>0</v>
      </c>
      <c r="G46" s="16">
        <v>0</v>
      </c>
      <c r="H46" s="22">
        <v>0</v>
      </c>
      <c r="I46" s="25">
        <v>0</v>
      </c>
      <c r="J46" s="22">
        <v>0</v>
      </c>
      <c r="K46" s="25">
        <v>0</v>
      </c>
      <c r="L46" s="22">
        <v>0</v>
      </c>
      <c r="M46" s="25">
        <v>0</v>
      </c>
      <c r="N46" s="19">
        <v>0</v>
      </c>
      <c r="O46" s="19">
        <v>0</v>
      </c>
      <c r="P46" s="16">
        <v>0</v>
      </c>
      <c r="Q46" s="19">
        <v>0</v>
      </c>
      <c r="R46" s="16">
        <v>0</v>
      </c>
      <c r="S46" s="25">
        <v>0</v>
      </c>
      <c r="T46" s="22">
        <v>0</v>
      </c>
      <c r="U46" s="25">
        <v>0</v>
      </c>
      <c r="V46" s="22">
        <v>0</v>
      </c>
      <c r="W46" s="25">
        <v>0</v>
      </c>
    </row>
    <row r="47" spans="1:23" x14ac:dyDescent="0.2">
      <c r="A47" s="6" t="s">
        <v>896</v>
      </c>
      <c r="B47" s="19">
        <v>8.5937913163044056E-5</v>
      </c>
      <c r="C47" s="16">
        <v>0</v>
      </c>
      <c r="D47" s="19">
        <v>2.6292414283176409E-4</v>
      </c>
      <c r="E47" s="16">
        <v>0</v>
      </c>
      <c r="F47" s="19">
        <v>0</v>
      </c>
      <c r="G47" s="16">
        <v>8.6097048593174229E-6</v>
      </c>
      <c r="H47" s="22">
        <v>0</v>
      </c>
      <c r="I47" s="25">
        <v>0</v>
      </c>
      <c r="J47" s="22">
        <v>0</v>
      </c>
      <c r="K47" s="25">
        <v>0</v>
      </c>
      <c r="L47" s="22">
        <v>0</v>
      </c>
      <c r="M47" s="25">
        <v>0</v>
      </c>
      <c r="N47" s="19">
        <v>0</v>
      </c>
      <c r="O47" s="19">
        <v>0</v>
      </c>
      <c r="P47" s="16">
        <v>0</v>
      </c>
      <c r="Q47" s="19">
        <v>0</v>
      </c>
      <c r="R47" s="16">
        <v>0</v>
      </c>
      <c r="S47" s="25">
        <v>0</v>
      </c>
      <c r="T47" s="22">
        <v>1.2636473918317832E-5</v>
      </c>
      <c r="U47" s="25">
        <v>0</v>
      </c>
      <c r="V47" s="22">
        <v>0</v>
      </c>
      <c r="W47" s="25">
        <v>0</v>
      </c>
    </row>
    <row r="48" spans="1:23" x14ac:dyDescent="0.2">
      <c r="A48" s="6" t="s">
        <v>895</v>
      </c>
      <c r="B48" s="19">
        <v>0</v>
      </c>
      <c r="C48" s="16">
        <v>0</v>
      </c>
      <c r="D48" s="19">
        <v>0</v>
      </c>
      <c r="E48" s="16">
        <v>0</v>
      </c>
      <c r="F48" s="19">
        <v>0</v>
      </c>
      <c r="G48" s="16">
        <v>0</v>
      </c>
      <c r="H48" s="22">
        <v>0</v>
      </c>
      <c r="I48" s="25">
        <v>0</v>
      </c>
      <c r="J48" s="22">
        <v>0</v>
      </c>
      <c r="K48" s="25">
        <v>0</v>
      </c>
      <c r="L48" s="22">
        <v>3.0740476600349214E-5</v>
      </c>
      <c r="M48" s="25">
        <v>2.660458929165281E-5</v>
      </c>
      <c r="N48" s="19">
        <v>0</v>
      </c>
      <c r="O48" s="19">
        <v>0</v>
      </c>
      <c r="P48" s="16">
        <v>0</v>
      </c>
      <c r="Q48" s="19">
        <v>0</v>
      </c>
      <c r="R48" s="16">
        <v>0</v>
      </c>
      <c r="S48" s="25">
        <v>0</v>
      </c>
      <c r="T48" s="22">
        <v>0</v>
      </c>
      <c r="U48" s="25">
        <v>0</v>
      </c>
      <c r="V48" s="22">
        <v>0</v>
      </c>
      <c r="W48" s="25">
        <v>0</v>
      </c>
    </row>
    <row r="49" spans="1:23" x14ac:dyDescent="0.2">
      <c r="A49" s="6" t="s">
        <v>894</v>
      </c>
      <c r="B49" s="19">
        <v>0</v>
      </c>
      <c r="C49" s="16">
        <v>0</v>
      </c>
      <c r="D49" s="19">
        <v>3.0556049031799613E-4</v>
      </c>
      <c r="E49" s="16">
        <v>1.0189179091804504E-4</v>
      </c>
      <c r="F49" s="19">
        <v>0</v>
      </c>
      <c r="G49" s="16">
        <v>6.8877638874539383E-5</v>
      </c>
      <c r="H49" s="22">
        <v>2.9107141691738399E-3</v>
      </c>
      <c r="I49" s="25">
        <v>2.3181537193488563E-4</v>
      </c>
      <c r="J49" s="22">
        <v>7.9989334755365947E-5</v>
      </c>
      <c r="K49" s="25">
        <v>7.3728518190836211E-5</v>
      </c>
      <c r="L49" s="22">
        <v>2.459238128027937E-5</v>
      </c>
      <c r="M49" s="25">
        <v>1.3967409378117725E-4</v>
      </c>
      <c r="N49" s="19">
        <v>1.4343515236996706E-4</v>
      </c>
      <c r="O49" s="19">
        <v>0</v>
      </c>
      <c r="P49" s="16">
        <v>9.6998228165698841E-5</v>
      </c>
      <c r="Q49" s="19">
        <v>4.9374149296751979E-4</v>
      </c>
      <c r="R49" s="16">
        <v>0</v>
      </c>
      <c r="S49" s="25">
        <v>3.8643111543341469E-4</v>
      </c>
      <c r="T49" s="22">
        <v>1.0298726243429034E-3</v>
      </c>
      <c r="U49" s="25">
        <v>1.9735166793990325E-4</v>
      </c>
      <c r="V49" s="22">
        <v>3.2768083886294748E-4</v>
      </c>
      <c r="W49" s="25">
        <v>5.2750875746960645E-4</v>
      </c>
    </row>
    <row r="50" spans="1:23" x14ac:dyDescent="0.2">
      <c r="A50" s="6" t="s">
        <v>893</v>
      </c>
      <c r="B50" s="19">
        <v>0</v>
      </c>
      <c r="C50" s="16">
        <v>0</v>
      </c>
      <c r="D50" s="19">
        <v>0</v>
      </c>
      <c r="E50" s="16">
        <v>9.5099004856842039E-5</v>
      </c>
      <c r="F50" s="19">
        <v>0</v>
      </c>
      <c r="G50" s="16">
        <v>0</v>
      </c>
      <c r="H50" s="22">
        <v>0</v>
      </c>
      <c r="I50" s="25">
        <v>0</v>
      </c>
      <c r="J50" s="22">
        <v>0</v>
      </c>
      <c r="K50" s="25">
        <v>0</v>
      </c>
      <c r="L50" s="22">
        <v>0</v>
      </c>
      <c r="M50" s="25">
        <v>0</v>
      </c>
      <c r="N50" s="19">
        <v>0</v>
      </c>
      <c r="O50" s="19">
        <v>0</v>
      </c>
      <c r="P50" s="16">
        <v>0</v>
      </c>
      <c r="Q50" s="19">
        <v>0</v>
      </c>
      <c r="R50" s="16">
        <v>0</v>
      </c>
      <c r="S50" s="25">
        <v>0</v>
      </c>
      <c r="T50" s="22">
        <v>0</v>
      </c>
      <c r="U50" s="25">
        <v>0</v>
      </c>
      <c r="V50" s="22">
        <v>0</v>
      </c>
      <c r="W50" s="25">
        <v>0</v>
      </c>
    </row>
    <row r="51" spans="1:23" x14ac:dyDescent="0.2">
      <c r="A51" s="6" t="s">
        <v>892</v>
      </c>
      <c r="B51" s="19">
        <v>0</v>
      </c>
      <c r="C51" s="16">
        <v>0</v>
      </c>
      <c r="D51" s="19">
        <v>4.2636347486232012E-5</v>
      </c>
      <c r="E51" s="16">
        <v>3.396393030601501E-5</v>
      </c>
      <c r="F51" s="19">
        <v>0</v>
      </c>
      <c r="G51" s="16">
        <v>0</v>
      </c>
      <c r="H51" s="22">
        <v>1.2399903411278691E-4</v>
      </c>
      <c r="I51" s="25">
        <v>3.2196579435400785E-5</v>
      </c>
      <c r="J51" s="22">
        <v>0</v>
      </c>
      <c r="K51" s="25">
        <v>4.691814793962305E-5</v>
      </c>
      <c r="L51" s="22">
        <v>1.4755428768167621E-4</v>
      </c>
      <c r="M51" s="25">
        <v>3.3255736614566016E-4</v>
      </c>
      <c r="N51" s="19">
        <v>6.5741111502901577E-5</v>
      </c>
      <c r="O51" s="19">
        <v>3.9496342638671656E-5</v>
      </c>
      <c r="P51" s="16">
        <v>1.2933097088759846E-5</v>
      </c>
      <c r="Q51" s="19">
        <v>5.3377458699191329E-5</v>
      </c>
      <c r="R51" s="16">
        <v>1.0711378340164812E-4</v>
      </c>
      <c r="S51" s="25">
        <v>0</v>
      </c>
      <c r="T51" s="22">
        <v>1.3268297614233725E-4</v>
      </c>
      <c r="U51" s="25">
        <v>1.7188693659281893E-4</v>
      </c>
      <c r="V51" s="22">
        <v>0</v>
      </c>
      <c r="W51" s="25">
        <v>1.8133113538017722E-4</v>
      </c>
    </row>
    <row r="52" spans="1:23" x14ac:dyDescent="0.2">
      <c r="A52" s="6" t="s">
        <v>891</v>
      </c>
      <c r="B52" s="19">
        <v>0</v>
      </c>
      <c r="C52" s="16">
        <v>0</v>
      </c>
      <c r="D52" s="19">
        <v>0</v>
      </c>
      <c r="E52" s="16">
        <v>0</v>
      </c>
      <c r="F52" s="19">
        <v>0</v>
      </c>
      <c r="G52" s="16">
        <v>0</v>
      </c>
      <c r="H52" s="22">
        <v>2.6105059813218297E-5</v>
      </c>
      <c r="I52" s="25">
        <v>0</v>
      </c>
      <c r="J52" s="22">
        <v>0</v>
      </c>
      <c r="K52" s="25">
        <v>0</v>
      </c>
      <c r="L52" s="22">
        <v>0</v>
      </c>
      <c r="M52" s="25">
        <v>0</v>
      </c>
      <c r="N52" s="19">
        <v>0</v>
      </c>
      <c r="O52" s="19">
        <v>0</v>
      </c>
      <c r="P52" s="16">
        <v>0</v>
      </c>
      <c r="Q52" s="19">
        <v>0</v>
      </c>
      <c r="R52" s="16">
        <v>0</v>
      </c>
      <c r="S52" s="25">
        <v>0</v>
      </c>
      <c r="T52" s="22">
        <v>4.4227658714112412E-5</v>
      </c>
      <c r="U52" s="25">
        <v>0</v>
      </c>
      <c r="V52" s="22">
        <v>0</v>
      </c>
      <c r="W52" s="25">
        <v>0</v>
      </c>
    </row>
    <row r="53" spans="1:23" x14ac:dyDescent="0.2">
      <c r="A53" s="6" t="s">
        <v>890</v>
      </c>
      <c r="B53" s="19">
        <v>0</v>
      </c>
      <c r="C53" s="16">
        <v>0</v>
      </c>
      <c r="D53" s="19">
        <v>0</v>
      </c>
      <c r="E53" s="16">
        <v>0</v>
      </c>
      <c r="F53" s="19">
        <v>0</v>
      </c>
      <c r="G53" s="16">
        <v>0</v>
      </c>
      <c r="H53" s="22">
        <v>0</v>
      </c>
      <c r="I53" s="25">
        <v>0</v>
      </c>
      <c r="J53" s="22">
        <v>0</v>
      </c>
      <c r="K53" s="25">
        <v>0</v>
      </c>
      <c r="L53" s="22">
        <v>0</v>
      </c>
      <c r="M53" s="25">
        <v>0</v>
      </c>
      <c r="N53" s="19">
        <v>0</v>
      </c>
      <c r="O53" s="19">
        <v>0</v>
      </c>
      <c r="P53" s="16">
        <v>0</v>
      </c>
      <c r="Q53" s="19">
        <v>9.3410552723584826E-5</v>
      </c>
      <c r="R53" s="16">
        <v>0</v>
      </c>
      <c r="S53" s="25">
        <v>0</v>
      </c>
      <c r="T53" s="22">
        <v>8.8455317428224825E-5</v>
      </c>
      <c r="U53" s="25">
        <v>0</v>
      </c>
      <c r="V53" s="22">
        <v>0</v>
      </c>
      <c r="W53" s="25">
        <v>0</v>
      </c>
    </row>
    <row r="54" spans="1:23" x14ac:dyDescent="0.2">
      <c r="A54" s="6" t="s">
        <v>889</v>
      </c>
      <c r="B54" s="19">
        <v>0</v>
      </c>
      <c r="C54" s="16">
        <v>0</v>
      </c>
      <c r="D54" s="19">
        <v>2.6292414283176404E-4</v>
      </c>
      <c r="E54" s="16">
        <v>1.3585572122406004E-5</v>
      </c>
      <c r="F54" s="19">
        <v>0</v>
      </c>
      <c r="G54" s="16">
        <v>7.7487343733856806E-5</v>
      </c>
      <c r="H54" s="22">
        <v>3.9157589719827446E-5</v>
      </c>
      <c r="I54" s="25">
        <v>1.2234700185452296E-4</v>
      </c>
      <c r="J54" s="22">
        <v>3.9994667377682974E-5</v>
      </c>
      <c r="K54" s="25">
        <v>2.815088876377383E-4</v>
      </c>
      <c r="L54" s="22">
        <v>1.16813811081327E-4</v>
      </c>
      <c r="M54" s="25">
        <v>0</v>
      </c>
      <c r="N54" s="19">
        <v>0</v>
      </c>
      <c r="O54" s="19">
        <v>0</v>
      </c>
      <c r="P54" s="16">
        <v>0</v>
      </c>
      <c r="Q54" s="19">
        <v>1.0675491739838266E-4</v>
      </c>
      <c r="R54" s="16">
        <v>0</v>
      </c>
      <c r="S54" s="25">
        <v>1.6101296476392279E-4</v>
      </c>
      <c r="T54" s="22">
        <v>1.2004650222401941E-4</v>
      </c>
      <c r="U54" s="25">
        <v>1.9735166793990322E-4</v>
      </c>
      <c r="V54" s="22">
        <v>5.0412436748145764E-5</v>
      </c>
      <c r="W54" s="25">
        <v>1.8957345971563981E-4</v>
      </c>
    </row>
    <row r="55" spans="1:23" x14ac:dyDescent="0.2">
      <c r="A55" s="6" t="s">
        <v>888</v>
      </c>
      <c r="B55" s="19">
        <v>0</v>
      </c>
      <c r="C55" s="16">
        <v>0</v>
      </c>
      <c r="D55" s="19">
        <v>0</v>
      </c>
      <c r="E55" s="16">
        <v>0</v>
      </c>
      <c r="F55" s="19">
        <v>0</v>
      </c>
      <c r="G55" s="16">
        <v>0</v>
      </c>
      <c r="H55" s="22">
        <v>0</v>
      </c>
      <c r="I55" s="25">
        <v>0</v>
      </c>
      <c r="J55" s="22">
        <v>0</v>
      </c>
      <c r="K55" s="25">
        <v>0</v>
      </c>
      <c r="L55" s="22">
        <v>0</v>
      </c>
      <c r="M55" s="25">
        <v>0</v>
      </c>
      <c r="N55" s="19">
        <v>0</v>
      </c>
      <c r="O55" s="19">
        <v>0</v>
      </c>
      <c r="P55" s="16">
        <v>0</v>
      </c>
      <c r="Q55" s="19">
        <v>0</v>
      </c>
      <c r="R55" s="16">
        <v>0</v>
      </c>
      <c r="S55" s="25">
        <v>0</v>
      </c>
      <c r="T55" s="22">
        <v>1.2636473918317833E-4</v>
      </c>
      <c r="U55" s="25">
        <v>0</v>
      </c>
      <c r="V55" s="22">
        <v>0</v>
      </c>
      <c r="W55" s="25">
        <v>0</v>
      </c>
    </row>
    <row r="56" spans="1:23" x14ac:dyDescent="0.2">
      <c r="A56" s="6" t="s">
        <v>887</v>
      </c>
      <c r="B56" s="19">
        <v>0</v>
      </c>
      <c r="C56" s="16">
        <v>2.07750477826099E-5</v>
      </c>
      <c r="D56" s="19">
        <v>5.3295434357790016E-4</v>
      </c>
      <c r="E56" s="16">
        <v>1.8340522365248107E-4</v>
      </c>
      <c r="F56" s="19">
        <v>2.6701862264165335E-4</v>
      </c>
      <c r="G56" s="16">
        <v>1.2053586803044392E-4</v>
      </c>
      <c r="H56" s="22">
        <v>0</v>
      </c>
      <c r="I56" s="25">
        <v>0</v>
      </c>
      <c r="J56" s="22">
        <v>0</v>
      </c>
      <c r="K56" s="25">
        <v>0</v>
      </c>
      <c r="L56" s="22">
        <v>0</v>
      </c>
      <c r="M56" s="25">
        <v>0</v>
      </c>
      <c r="N56" s="19">
        <v>1.0159989959539334E-4</v>
      </c>
      <c r="O56" s="19">
        <v>2.3697805583202996E-5</v>
      </c>
      <c r="P56" s="16">
        <v>0</v>
      </c>
      <c r="Q56" s="19">
        <v>0</v>
      </c>
      <c r="R56" s="16">
        <v>0</v>
      </c>
      <c r="S56" s="25">
        <v>0</v>
      </c>
      <c r="T56" s="22">
        <v>8.2137080469065903E-5</v>
      </c>
      <c r="U56" s="25">
        <v>0</v>
      </c>
      <c r="V56" s="22">
        <v>0</v>
      </c>
      <c r="W56" s="25">
        <v>0</v>
      </c>
    </row>
    <row r="57" spans="1:23" x14ac:dyDescent="0.2">
      <c r="A57" s="6" t="s">
        <v>886</v>
      </c>
      <c r="B57" s="19">
        <v>5.7446189645142523E-3</v>
      </c>
      <c r="C57" s="16">
        <v>5.1868369297249353E-3</v>
      </c>
      <c r="D57" s="19">
        <v>2.2668324746846686E-3</v>
      </c>
      <c r="E57" s="16">
        <v>4.3405902931087179E-3</v>
      </c>
      <c r="F57" s="19">
        <v>4.9131426566064217E-3</v>
      </c>
      <c r="G57" s="16">
        <v>6.7758377242828115E-3</v>
      </c>
      <c r="H57" s="22">
        <v>2.8062939299209671E-3</v>
      </c>
      <c r="I57" s="25">
        <v>4.591232227488154E-3</v>
      </c>
      <c r="J57" s="22">
        <v>1.4198106919077456E-3</v>
      </c>
      <c r="K57" s="25">
        <v>2.3593125821067592E-3</v>
      </c>
      <c r="L57" s="22">
        <v>3.1785652804761084E-3</v>
      </c>
      <c r="M57" s="25">
        <v>2.893249085467244E-3</v>
      </c>
      <c r="N57" s="19">
        <v>6.5681346856080753E-3</v>
      </c>
      <c r="O57" s="19">
        <v>7.3700175363761314E-3</v>
      </c>
      <c r="P57" s="16">
        <v>4.3649202674564472E-3</v>
      </c>
      <c r="Q57" s="19">
        <v>5.1375803997971677E-3</v>
      </c>
      <c r="R57" s="16">
        <v>4.1488738770905026E-3</v>
      </c>
      <c r="S57" s="25">
        <v>2.0480849117970983E-3</v>
      </c>
      <c r="T57" s="22">
        <v>5.237818439142743E-3</v>
      </c>
      <c r="U57" s="25">
        <v>6.6399286987522304E-3</v>
      </c>
      <c r="V57" s="22">
        <v>1.3674373467934538E-3</v>
      </c>
      <c r="W57" s="25">
        <v>1.2363486503193903E-3</v>
      </c>
    </row>
    <row r="58" spans="1:23" x14ac:dyDescent="0.2">
      <c r="A58" s="6" t="s">
        <v>885</v>
      </c>
      <c r="B58" s="19">
        <v>6.2139721825585695E-4</v>
      </c>
      <c r="C58" s="16">
        <v>3.3932578044929506E-4</v>
      </c>
      <c r="D58" s="19">
        <v>0</v>
      </c>
      <c r="E58" s="16">
        <v>2.852970145705261E-4</v>
      </c>
      <c r="F58" s="19">
        <v>9.154924204856687E-4</v>
      </c>
      <c r="G58" s="16">
        <v>7.0599579846402868E-4</v>
      </c>
      <c r="H58" s="22">
        <v>4.2420722196479736E-4</v>
      </c>
      <c r="I58" s="25">
        <v>3.28405110241088E-4</v>
      </c>
      <c r="J58" s="22">
        <v>2.9329422743634183E-4</v>
      </c>
      <c r="K58" s="25">
        <v>2.3459073969811522E-4</v>
      </c>
      <c r="L58" s="22">
        <v>1.3525809704153653E-4</v>
      </c>
      <c r="M58" s="25">
        <v>1.0641835716661124E-4</v>
      </c>
      <c r="N58" s="19">
        <v>5.7374060947986826E-4</v>
      </c>
      <c r="O58" s="19">
        <v>9.5581149185585421E-4</v>
      </c>
      <c r="P58" s="16">
        <v>3.1686087867461622E-4</v>
      </c>
      <c r="Q58" s="19">
        <v>5.6046331634150895E-4</v>
      </c>
      <c r="R58" s="16">
        <v>2.2850940459018268E-4</v>
      </c>
      <c r="S58" s="25">
        <v>1.5457244617336587E-4</v>
      </c>
      <c r="T58" s="22">
        <v>6.3182369591589164E-5</v>
      </c>
      <c r="U58" s="25">
        <v>3.3104150751209573E-4</v>
      </c>
      <c r="V58" s="22">
        <v>3.2768083886294754E-4</v>
      </c>
      <c r="W58" s="25">
        <v>1.8957345971563981E-4</v>
      </c>
    </row>
    <row r="59" spans="1:23" x14ac:dyDescent="0.2">
      <c r="A59" s="6" t="s">
        <v>884</v>
      </c>
      <c r="B59" s="19">
        <v>2.5120313078428263E-4</v>
      </c>
      <c r="C59" s="16">
        <v>3.4625079637683168E-5</v>
      </c>
      <c r="D59" s="19">
        <v>2.4160596908864808E-4</v>
      </c>
      <c r="E59" s="16">
        <v>0</v>
      </c>
      <c r="F59" s="19">
        <v>2.2887310512141718E-4</v>
      </c>
      <c r="G59" s="16">
        <v>2.5829114577952269E-5</v>
      </c>
      <c r="H59" s="22">
        <v>2.6757686308548752E-4</v>
      </c>
      <c r="I59" s="25">
        <v>0</v>
      </c>
      <c r="J59" s="22">
        <v>6.6657778962804954E-5</v>
      </c>
      <c r="K59" s="25">
        <v>0</v>
      </c>
      <c r="L59" s="22">
        <v>7.3777143840838107E-5</v>
      </c>
      <c r="M59" s="25">
        <v>2.3279015630196209E-4</v>
      </c>
      <c r="N59" s="19">
        <v>6.6338757971109779E-4</v>
      </c>
      <c r="O59" s="19">
        <v>7.6622904719023024E-4</v>
      </c>
      <c r="P59" s="16">
        <v>0</v>
      </c>
      <c r="Q59" s="19">
        <v>2.5354292882115881E-4</v>
      </c>
      <c r="R59" s="16">
        <v>1.2139562118853454E-4</v>
      </c>
      <c r="S59" s="25">
        <v>0</v>
      </c>
      <c r="T59" s="22">
        <v>2.5904771532551555E-4</v>
      </c>
      <c r="U59" s="25">
        <v>5.0929462694168576E-5</v>
      </c>
      <c r="V59" s="22">
        <v>0</v>
      </c>
      <c r="W59" s="25">
        <v>0</v>
      </c>
    </row>
    <row r="60" spans="1:23" x14ac:dyDescent="0.2">
      <c r="A60" s="6" t="s">
        <v>883</v>
      </c>
      <c r="B60" s="19">
        <v>0</v>
      </c>
      <c r="C60" s="16">
        <v>0</v>
      </c>
      <c r="D60" s="19">
        <v>0</v>
      </c>
      <c r="E60" s="16">
        <v>0</v>
      </c>
      <c r="F60" s="19">
        <v>1.4495296657689755E-4</v>
      </c>
      <c r="G60" s="16">
        <v>0</v>
      </c>
      <c r="H60" s="22">
        <v>0</v>
      </c>
      <c r="I60" s="25">
        <v>0</v>
      </c>
      <c r="J60" s="22">
        <v>0</v>
      </c>
      <c r="K60" s="25">
        <v>0</v>
      </c>
      <c r="L60" s="22">
        <v>0</v>
      </c>
      <c r="M60" s="25">
        <v>0</v>
      </c>
      <c r="N60" s="19">
        <v>0</v>
      </c>
      <c r="O60" s="19">
        <v>0</v>
      </c>
      <c r="P60" s="16">
        <v>0</v>
      </c>
      <c r="Q60" s="19">
        <v>0</v>
      </c>
      <c r="R60" s="16">
        <v>4.9986432254102458E-5</v>
      </c>
      <c r="S60" s="25">
        <v>0</v>
      </c>
      <c r="T60" s="22">
        <v>0</v>
      </c>
      <c r="U60" s="25">
        <v>0</v>
      </c>
      <c r="V60" s="22">
        <v>0</v>
      </c>
      <c r="W60" s="25">
        <v>0</v>
      </c>
    </row>
    <row r="61" spans="1:23" x14ac:dyDescent="0.2">
      <c r="A61" s="6" t="s">
        <v>882</v>
      </c>
      <c r="B61" s="19">
        <v>1.3287323496747581E-3</v>
      </c>
      <c r="C61" s="16">
        <v>1.7312539818841583E-4</v>
      </c>
      <c r="D61" s="19">
        <v>4.6189376443418013E-4</v>
      </c>
      <c r="E61" s="16">
        <v>5.5700845701864624E-4</v>
      </c>
      <c r="F61" s="19">
        <v>5.8744096981163741E-4</v>
      </c>
      <c r="G61" s="16">
        <v>4.8214347212177568E-4</v>
      </c>
      <c r="H61" s="22">
        <v>1.414241615381101E-2</v>
      </c>
      <c r="I61" s="25">
        <v>1.2427879662064703E-3</v>
      </c>
      <c r="J61" s="22">
        <v>1.2331689108118918E-3</v>
      </c>
      <c r="K61" s="25">
        <v>4.3566851658221402E-4</v>
      </c>
      <c r="L61" s="22">
        <v>5.8160981727860706E-3</v>
      </c>
      <c r="M61" s="25">
        <v>9.1120718323910871E-4</v>
      </c>
      <c r="N61" s="19">
        <v>1.1713870776880644E-3</v>
      </c>
      <c r="O61" s="19">
        <v>4.5815757460859123E-4</v>
      </c>
      <c r="P61" s="16">
        <v>3.2332742721899617E-4</v>
      </c>
      <c r="Q61" s="19">
        <v>4.8039712829272196E-4</v>
      </c>
      <c r="R61" s="16">
        <v>9.2831945614761712E-5</v>
      </c>
      <c r="S61" s="25">
        <v>8.6947000972518302E-4</v>
      </c>
      <c r="T61" s="22">
        <v>4.4038111605337656E-3</v>
      </c>
      <c r="U61" s="25">
        <v>1.2923351158645275E-3</v>
      </c>
      <c r="V61" s="22">
        <v>1.2603109187036441E-3</v>
      </c>
      <c r="W61" s="25">
        <v>7.4180919019163407E-5</v>
      </c>
    </row>
    <row r="62" spans="1:23" x14ac:dyDescent="0.2">
      <c r="A62" s="6" t="s">
        <v>881</v>
      </c>
      <c r="B62" s="19">
        <v>0</v>
      </c>
      <c r="C62" s="16">
        <v>0</v>
      </c>
      <c r="D62" s="19">
        <v>0</v>
      </c>
      <c r="E62" s="16">
        <v>0</v>
      </c>
      <c r="F62" s="19">
        <v>0</v>
      </c>
      <c r="G62" s="16">
        <v>0</v>
      </c>
      <c r="H62" s="22">
        <v>2.6105059813218297E-5</v>
      </c>
      <c r="I62" s="25">
        <v>0</v>
      </c>
      <c r="J62" s="22">
        <v>0</v>
      </c>
      <c r="K62" s="25">
        <v>0</v>
      </c>
      <c r="L62" s="22">
        <v>0</v>
      </c>
      <c r="M62" s="25">
        <v>0</v>
      </c>
      <c r="N62" s="19">
        <v>0</v>
      </c>
      <c r="O62" s="19">
        <v>0</v>
      </c>
      <c r="P62" s="16">
        <v>0</v>
      </c>
      <c r="Q62" s="19">
        <v>0</v>
      </c>
      <c r="R62" s="16">
        <v>0</v>
      </c>
      <c r="S62" s="25">
        <v>0</v>
      </c>
      <c r="T62" s="22">
        <v>0</v>
      </c>
      <c r="U62" s="25">
        <v>0</v>
      </c>
      <c r="V62" s="22">
        <v>0</v>
      </c>
      <c r="W62" s="25">
        <v>0</v>
      </c>
    </row>
    <row r="63" spans="1:23" x14ac:dyDescent="0.2">
      <c r="A63" s="6" t="s">
        <v>880</v>
      </c>
      <c r="B63" s="19">
        <v>0</v>
      </c>
      <c r="C63" s="16">
        <v>0</v>
      </c>
      <c r="D63" s="19">
        <v>0</v>
      </c>
      <c r="E63" s="16">
        <v>0</v>
      </c>
      <c r="F63" s="19">
        <v>5.3403724528330679E-5</v>
      </c>
      <c r="G63" s="16">
        <v>2.8412026035747496E-4</v>
      </c>
      <c r="H63" s="22">
        <v>0</v>
      </c>
      <c r="I63" s="25">
        <v>0</v>
      </c>
      <c r="J63" s="22">
        <v>0</v>
      </c>
      <c r="K63" s="25">
        <v>0</v>
      </c>
      <c r="L63" s="22">
        <v>0</v>
      </c>
      <c r="M63" s="25">
        <v>0</v>
      </c>
      <c r="N63" s="19">
        <v>0</v>
      </c>
      <c r="O63" s="19">
        <v>0</v>
      </c>
      <c r="P63" s="16">
        <v>0</v>
      </c>
      <c r="Q63" s="19">
        <v>0</v>
      </c>
      <c r="R63" s="16">
        <v>0</v>
      </c>
      <c r="S63" s="25">
        <v>0</v>
      </c>
      <c r="T63" s="22">
        <v>0</v>
      </c>
      <c r="U63" s="25">
        <v>0</v>
      </c>
      <c r="V63" s="22">
        <v>0</v>
      </c>
      <c r="W63" s="25">
        <v>0</v>
      </c>
    </row>
    <row r="64" spans="1:23" x14ac:dyDescent="0.2">
      <c r="A64" s="6" t="s">
        <v>879</v>
      </c>
      <c r="B64" s="19">
        <v>9.9159130572743133E-5</v>
      </c>
      <c r="C64" s="16">
        <v>2.5622558931885544E-4</v>
      </c>
      <c r="D64" s="19">
        <v>4.9742405400604016E-5</v>
      </c>
      <c r="E64" s="16">
        <v>8.8306218795639028E-5</v>
      </c>
      <c r="F64" s="19">
        <v>9.9178345552614115E-5</v>
      </c>
      <c r="G64" s="16">
        <v>1.7219409718634846E-4</v>
      </c>
      <c r="H64" s="22">
        <v>5.4820625607758424E-4</v>
      </c>
      <c r="I64" s="25">
        <v>2.8268596744281884E-3</v>
      </c>
      <c r="J64" s="22">
        <v>2.7996267164378082E-4</v>
      </c>
      <c r="K64" s="25">
        <v>7.2387999678275559E-4</v>
      </c>
      <c r="L64" s="22">
        <v>4.3036667240488899E-4</v>
      </c>
      <c r="M64" s="25">
        <v>6.3851014299966746E-4</v>
      </c>
      <c r="N64" s="19">
        <v>1.1355282895955726E-4</v>
      </c>
      <c r="O64" s="19">
        <v>0</v>
      </c>
      <c r="P64" s="16">
        <v>1.6166371360949806E-4</v>
      </c>
      <c r="Q64" s="19">
        <v>8.0066188048786993E-5</v>
      </c>
      <c r="R64" s="16">
        <v>1.5710021565575058E-4</v>
      </c>
      <c r="S64" s="25">
        <v>7.0845704496126031E-4</v>
      </c>
      <c r="T64" s="22">
        <v>7.771431459765466E-4</v>
      </c>
      <c r="U64" s="25">
        <v>1.4896867838044309E-3</v>
      </c>
      <c r="V64" s="22">
        <v>1.7014197402499197E-4</v>
      </c>
      <c r="W64" s="25">
        <v>2.3078508139295282E-4</v>
      </c>
    </row>
    <row r="65" spans="1:23" x14ac:dyDescent="0.2">
      <c r="A65" s="6" t="s">
        <v>878</v>
      </c>
      <c r="B65" s="19">
        <v>5.9495478343645881E-5</v>
      </c>
      <c r="C65" s="16">
        <v>3.1855073266668515E-4</v>
      </c>
      <c r="D65" s="19">
        <v>4.3346953277669214E-4</v>
      </c>
      <c r="E65" s="16">
        <v>3.6681044730496213E-4</v>
      </c>
      <c r="F65" s="19">
        <v>1.2206565606475583E-4</v>
      </c>
      <c r="G65" s="16">
        <v>4.132658332472363E-4</v>
      </c>
      <c r="H65" s="22">
        <v>2.6105059813218297E-4</v>
      </c>
      <c r="I65" s="25">
        <v>3.8635895322480941E-5</v>
      </c>
      <c r="J65" s="22">
        <v>2.2663644847353687E-4</v>
      </c>
      <c r="K65" s="25">
        <v>6.7025925628032924E-5</v>
      </c>
      <c r="L65" s="22">
        <v>6.7629048520768267E-5</v>
      </c>
      <c r="M65" s="25">
        <v>1.7292983039574327E-4</v>
      </c>
      <c r="N65" s="19">
        <v>2.0319979919078667E-4</v>
      </c>
      <c r="O65" s="19">
        <v>1.263882964437493E-3</v>
      </c>
      <c r="P65" s="16">
        <v>1.5002392622961423E-3</v>
      </c>
      <c r="Q65" s="19">
        <v>8.1400624516266777E-4</v>
      </c>
      <c r="R65" s="16">
        <v>9.3546037504106032E-4</v>
      </c>
      <c r="S65" s="25">
        <v>4.5083630133898384E-5</v>
      </c>
      <c r="T65" s="22">
        <v>4.4227658714112412E-5</v>
      </c>
      <c r="U65" s="25">
        <v>0</v>
      </c>
      <c r="V65" s="22">
        <v>1.7014197402499197E-4</v>
      </c>
      <c r="W65" s="25">
        <v>0</v>
      </c>
    </row>
    <row r="66" spans="1:23" x14ac:dyDescent="0.2">
      <c r="A66" s="6" t="s">
        <v>877</v>
      </c>
      <c r="B66" s="19">
        <v>0</v>
      </c>
      <c r="C66" s="16">
        <v>0</v>
      </c>
      <c r="D66" s="19">
        <v>0</v>
      </c>
      <c r="E66" s="16">
        <v>1.3585572122406004E-5</v>
      </c>
      <c r="F66" s="19">
        <v>0</v>
      </c>
      <c r="G66" s="16">
        <v>0</v>
      </c>
      <c r="H66" s="22">
        <v>0</v>
      </c>
      <c r="I66" s="25">
        <v>0</v>
      </c>
      <c r="J66" s="22">
        <v>0</v>
      </c>
      <c r="K66" s="25">
        <v>0</v>
      </c>
      <c r="L66" s="22">
        <v>0</v>
      </c>
      <c r="M66" s="25">
        <v>0</v>
      </c>
      <c r="N66" s="19">
        <v>0</v>
      </c>
      <c r="O66" s="19">
        <v>0</v>
      </c>
      <c r="P66" s="16">
        <v>0</v>
      </c>
      <c r="Q66" s="19">
        <v>0</v>
      </c>
      <c r="R66" s="16">
        <v>0</v>
      </c>
      <c r="S66" s="25">
        <v>0</v>
      </c>
      <c r="T66" s="22">
        <v>0</v>
      </c>
      <c r="U66" s="25">
        <v>0</v>
      </c>
      <c r="V66" s="22">
        <v>0</v>
      </c>
      <c r="W66" s="25">
        <v>0</v>
      </c>
    </row>
    <row r="67" spans="1:23" x14ac:dyDescent="0.2">
      <c r="A67" s="6" t="s">
        <v>876</v>
      </c>
      <c r="B67" s="19">
        <v>1.3221217409699085E-4</v>
      </c>
      <c r="C67" s="16">
        <v>2.5622558931885544E-4</v>
      </c>
      <c r="D67" s="19">
        <v>9.8063599218333624E-4</v>
      </c>
      <c r="E67" s="16">
        <v>9.9853955099684136E-4</v>
      </c>
      <c r="F67" s="19">
        <v>0</v>
      </c>
      <c r="G67" s="16">
        <v>4.3909494782518857E-4</v>
      </c>
      <c r="H67" s="22">
        <v>1.5663035887930978E-4</v>
      </c>
      <c r="I67" s="25">
        <v>0</v>
      </c>
      <c r="J67" s="22">
        <v>0</v>
      </c>
      <c r="K67" s="25">
        <v>9.3836295879246086E-5</v>
      </c>
      <c r="L67" s="22">
        <v>0</v>
      </c>
      <c r="M67" s="25">
        <v>5.3209178583305619E-5</v>
      </c>
      <c r="N67" s="19">
        <v>0</v>
      </c>
      <c r="O67" s="19">
        <v>2.3618812897925651E-3</v>
      </c>
      <c r="P67" s="16">
        <v>8.6651750494690961E-4</v>
      </c>
      <c r="Q67" s="19">
        <v>1.0275160799594332E-3</v>
      </c>
      <c r="R67" s="16">
        <v>7.2837372713120728E-4</v>
      </c>
      <c r="S67" s="25">
        <v>0</v>
      </c>
      <c r="T67" s="22">
        <v>2.5272947836635664E-5</v>
      </c>
      <c r="U67" s="25">
        <v>3.819709702062643E-5</v>
      </c>
      <c r="V67" s="22">
        <v>0</v>
      </c>
      <c r="W67" s="25">
        <v>0</v>
      </c>
    </row>
    <row r="68" spans="1:23" x14ac:dyDescent="0.2">
      <c r="A68" s="6" t="s">
        <v>875</v>
      </c>
      <c r="B68" s="19">
        <v>7.9327304458194517E-5</v>
      </c>
      <c r="C68" s="16">
        <v>0</v>
      </c>
      <c r="D68" s="19">
        <v>1.4212115828744003E-4</v>
      </c>
      <c r="E68" s="16">
        <v>0</v>
      </c>
      <c r="F68" s="19">
        <v>0</v>
      </c>
      <c r="G68" s="16">
        <v>0</v>
      </c>
      <c r="H68" s="22">
        <v>3.0673445280531497E-4</v>
      </c>
      <c r="I68" s="25">
        <v>1.030290541932825E-4</v>
      </c>
      <c r="J68" s="22">
        <v>0</v>
      </c>
      <c r="K68" s="25">
        <v>0</v>
      </c>
      <c r="L68" s="22">
        <v>1.9059095492216511E-4</v>
      </c>
      <c r="M68" s="25">
        <v>7.9813767874958432E-5</v>
      </c>
      <c r="N68" s="19">
        <v>1.4343515236996706E-4</v>
      </c>
      <c r="O68" s="19">
        <v>0</v>
      </c>
      <c r="P68" s="16">
        <v>1.0346477671007877E-4</v>
      </c>
      <c r="Q68" s="19">
        <v>0</v>
      </c>
      <c r="R68" s="16">
        <v>0</v>
      </c>
      <c r="S68" s="25">
        <v>0</v>
      </c>
      <c r="T68" s="22">
        <v>1.2004650222401941E-4</v>
      </c>
      <c r="U68" s="25">
        <v>0</v>
      </c>
      <c r="V68" s="22">
        <v>0</v>
      </c>
      <c r="W68" s="25">
        <v>0</v>
      </c>
    </row>
    <row r="69" spans="1:23" x14ac:dyDescent="0.2">
      <c r="A69" s="6" t="s">
        <v>874</v>
      </c>
      <c r="B69" s="19">
        <v>1.3221217409699086E-5</v>
      </c>
      <c r="C69" s="16">
        <v>0</v>
      </c>
      <c r="D69" s="19">
        <v>0</v>
      </c>
      <c r="E69" s="16">
        <v>0</v>
      </c>
      <c r="F69" s="19">
        <v>0</v>
      </c>
      <c r="G69" s="16">
        <v>0</v>
      </c>
      <c r="H69" s="22">
        <v>0</v>
      </c>
      <c r="I69" s="25">
        <v>7.0832474757881719E-5</v>
      </c>
      <c r="J69" s="22">
        <v>3.9994667377682974E-5</v>
      </c>
      <c r="K69" s="25">
        <v>0</v>
      </c>
      <c r="L69" s="22">
        <v>7.9925239160907961E-5</v>
      </c>
      <c r="M69" s="25">
        <v>5.3209178583305619E-5</v>
      </c>
      <c r="N69" s="19">
        <v>0</v>
      </c>
      <c r="O69" s="19">
        <v>3.9496342638671656E-5</v>
      </c>
      <c r="P69" s="16">
        <v>0</v>
      </c>
      <c r="Q69" s="19">
        <v>0</v>
      </c>
      <c r="R69" s="16">
        <v>0</v>
      </c>
      <c r="S69" s="25">
        <v>0</v>
      </c>
      <c r="T69" s="22">
        <v>3.7909421754953497E-5</v>
      </c>
      <c r="U69" s="25">
        <v>0</v>
      </c>
      <c r="V69" s="22">
        <v>5.6713991341663988E-5</v>
      </c>
      <c r="W69" s="25">
        <v>0</v>
      </c>
    </row>
    <row r="70" spans="1:23" x14ac:dyDescent="0.2">
      <c r="A70" s="6" t="s">
        <v>873</v>
      </c>
      <c r="B70" s="19">
        <v>2.0625099159130573E-3</v>
      </c>
      <c r="C70" s="16">
        <v>1.6343037588986455E-3</v>
      </c>
      <c r="D70" s="19">
        <v>1.4425297566175164E-3</v>
      </c>
      <c r="E70" s="16">
        <v>1.3925211425466154E-3</v>
      </c>
      <c r="F70" s="19">
        <v>1.724177391914676E-3</v>
      </c>
      <c r="G70" s="16">
        <v>2.1007679856734508E-3</v>
      </c>
      <c r="H70" s="22">
        <v>4.9599613645114754E-4</v>
      </c>
      <c r="I70" s="25">
        <v>4.5075211209561096E-5</v>
      </c>
      <c r="J70" s="22">
        <v>3.1329156112518331E-4</v>
      </c>
      <c r="K70" s="25">
        <v>5.3620740502426337E-5</v>
      </c>
      <c r="L70" s="22">
        <v>6.5169810392740339E-4</v>
      </c>
      <c r="M70" s="25">
        <v>3.7246425008313934E-4</v>
      </c>
      <c r="N70" s="19">
        <v>1.5180220292488182E-3</v>
      </c>
      <c r="O70" s="19">
        <v>2.8674344755675626E-3</v>
      </c>
      <c r="P70" s="16">
        <v>2.0175631458465358E-3</v>
      </c>
      <c r="Q70" s="19">
        <v>1.5079132082521549E-3</v>
      </c>
      <c r="R70" s="16">
        <v>2.2136848569673947E-3</v>
      </c>
      <c r="S70" s="25">
        <v>1.5457244617336587E-4</v>
      </c>
      <c r="T70" s="22">
        <v>8.2137080469065914E-4</v>
      </c>
      <c r="U70" s="25">
        <v>8.2760376878023934E-5</v>
      </c>
      <c r="V70" s="22">
        <v>6.4275856853885857E-4</v>
      </c>
      <c r="W70" s="25">
        <v>1.3187718936740161E-4</v>
      </c>
    </row>
    <row r="71" spans="1:23" x14ac:dyDescent="0.2">
      <c r="A71" s="6" t="s">
        <v>872</v>
      </c>
      <c r="B71" s="19">
        <v>0</v>
      </c>
      <c r="C71" s="16">
        <v>0</v>
      </c>
      <c r="D71" s="19">
        <v>0</v>
      </c>
      <c r="E71" s="16">
        <v>0</v>
      </c>
      <c r="F71" s="19">
        <v>0</v>
      </c>
      <c r="G71" s="16">
        <v>0</v>
      </c>
      <c r="H71" s="22">
        <v>0</v>
      </c>
      <c r="I71" s="25">
        <v>3.8635895322480941E-5</v>
      </c>
      <c r="J71" s="22">
        <v>0</v>
      </c>
      <c r="K71" s="25">
        <v>0</v>
      </c>
      <c r="L71" s="22">
        <v>1.2296190640139685E-5</v>
      </c>
      <c r="M71" s="25">
        <v>0</v>
      </c>
      <c r="N71" s="19">
        <v>0</v>
      </c>
      <c r="O71" s="19">
        <v>0</v>
      </c>
      <c r="P71" s="16">
        <v>0</v>
      </c>
      <c r="Q71" s="19">
        <v>0</v>
      </c>
      <c r="R71" s="16">
        <v>0</v>
      </c>
      <c r="S71" s="25">
        <v>0</v>
      </c>
      <c r="T71" s="22">
        <v>0</v>
      </c>
      <c r="U71" s="25">
        <v>0</v>
      </c>
      <c r="V71" s="22">
        <v>0</v>
      </c>
      <c r="W71" s="25">
        <v>0</v>
      </c>
    </row>
    <row r="72" spans="1:23" x14ac:dyDescent="0.2">
      <c r="A72" s="6" t="s">
        <v>871</v>
      </c>
      <c r="B72" s="19">
        <v>1.9170765244063673E-4</v>
      </c>
      <c r="C72" s="16">
        <v>1.3850031855073266E-5</v>
      </c>
      <c r="D72" s="19">
        <v>2.842423165748801E-5</v>
      </c>
      <c r="E72" s="16">
        <v>0</v>
      </c>
      <c r="F72" s="19">
        <v>0</v>
      </c>
      <c r="G72" s="16">
        <v>3.4438819437269692E-5</v>
      </c>
      <c r="H72" s="22">
        <v>1.9578794859913723E-4</v>
      </c>
      <c r="I72" s="25">
        <v>8.371110653204203E-5</v>
      </c>
      <c r="J72" s="22">
        <v>1.1331822423676842E-4</v>
      </c>
      <c r="K72" s="25">
        <v>0</v>
      </c>
      <c r="L72" s="22">
        <v>7.9925239160907947E-5</v>
      </c>
      <c r="M72" s="25">
        <v>1.3302294645826406E-4</v>
      </c>
      <c r="N72" s="19">
        <v>0</v>
      </c>
      <c r="O72" s="19">
        <v>0</v>
      </c>
      <c r="P72" s="16">
        <v>0</v>
      </c>
      <c r="Q72" s="19">
        <v>0</v>
      </c>
      <c r="R72" s="16">
        <v>0</v>
      </c>
      <c r="S72" s="25">
        <v>5.1524148724455294E-5</v>
      </c>
      <c r="T72" s="22">
        <v>4.1700363930448846E-4</v>
      </c>
      <c r="U72" s="25">
        <v>3.5014005602240891E-4</v>
      </c>
      <c r="V72" s="22">
        <v>0</v>
      </c>
      <c r="W72" s="25">
        <v>0</v>
      </c>
    </row>
    <row r="73" spans="1:23" x14ac:dyDescent="0.2">
      <c r="A73" s="6" t="s">
        <v>870</v>
      </c>
      <c r="B73" s="19">
        <v>0</v>
      </c>
      <c r="C73" s="16">
        <v>0</v>
      </c>
      <c r="D73" s="19">
        <v>0</v>
      </c>
      <c r="E73" s="16">
        <v>0</v>
      </c>
      <c r="F73" s="19">
        <v>0</v>
      </c>
      <c r="G73" s="16">
        <v>5.1658229155904537E-5</v>
      </c>
      <c r="H73" s="22">
        <v>9.7893974299568615E-5</v>
      </c>
      <c r="I73" s="25">
        <v>0</v>
      </c>
      <c r="J73" s="22">
        <v>0</v>
      </c>
      <c r="K73" s="25">
        <v>0</v>
      </c>
      <c r="L73" s="22">
        <v>2.0903524088237464E-4</v>
      </c>
      <c r="M73" s="25">
        <v>5.1878949118722975E-4</v>
      </c>
      <c r="N73" s="19">
        <v>0</v>
      </c>
      <c r="O73" s="19">
        <v>2.3697805583202996E-5</v>
      </c>
      <c r="P73" s="16">
        <v>3.8799291266279534E-5</v>
      </c>
      <c r="Q73" s="19">
        <v>0</v>
      </c>
      <c r="R73" s="16">
        <v>0</v>
      </c>
      <c r="S73" s="25">
        <v>0</v>
      </c>
      <c r="T73" s="22">
        <v>1.8954710877476749E-5</v>
      </c>
      <c r="U73" s="25">
        <v>8.9126559714795006E-5</v>
      </c>
      <c r="V73" s="22">
        <v>0</v>
      </c>
      <c r="W73" s="25">
        <v>0</v>
      </c>
    </row>
    <row r="74" spans="1:23" x14ac:dyDescent="0.2">
      <c r="A74" s="6" t="s">
        <v>869</v>
      </c>
      <c r="B74" s="19">
        <v>0</v>
      </c>
      <c r="C74" s="16">
        <v>0</v>
      </c>
      <c r="D74" s="19">
        <v>0</v>
      </c>
      <c r="E74" s="16">
        <v>0</v>
      </c>
      <c r="F74" s="19">
        <v>0</v>
      </c>
      <c r="G74" s="16">
        <v>0</v>
      </c>
      <c r="H74" s="22">
        <v>0</v>
      </c>
      <c r="I74" s="25">
        <v>1.931794766124047E-5</v>
      </c>
      <c r="J74" s="22">
        <v>0</v>
      </c>
      <c r="K74" s="25">
        <v>0</v>
      </c>
      <c r="L74" s="22">
        <v>0</v>
      </c>
      <c r="M74" s="25">
        <v>0</v>
      </c>
      <c r="N74" s="19">
        <v>0</v>
      </c>
      <c r="O74" s="19">
        <v>0</v>
      </c>
      <c r="P74" s="16">
        <v>0</v>
      </c>
      <c r="Q74" s="19">
        <v>0</v>
      </c>
      <c r="R74" s="16">
        <v>0</v>
      </c>
      <c r="S74" s="25">
        <v>1.9321555771670734E-5</v>
      </c>
      <c r="T74" s="22">
        <v>0</v>
      </c>
      <c r="U74" s="25">
        <v>1.2732365673542144E-5</v>
      </c>
      <c r="V74" s="22">
        <v>1.8904663780554662E-5</v>
      </c>
      <c r="W74" s="25">
        <v>0</v>
      </c>
    </row>
    <row r="75" spans="1:23" x14ac:dyDescent="0.2">
      <c r="A75" s="6" t="s">
        <v>868</v>
      </c>
      <c r="B75" s="19">
        <v>0</v>
      </c>
      <c r="C75" s="16">
        <v>0</v>
      </c>
      <c r="D75" s="19">
        <v>0</v>
      </c>
      <c r="E75" s="16">
        <v>0</v>
      </c>
      <c r="F75" s="19">
        <v>0</v>
      </c>
      <c r="G75" s="16">
        <v>0</v>
      </c>
      <c r="H75" s="22">
        <v>0</v>
      </c>
      <c r="I75" s="25">
        <v>0</v>
      </c>
      <c r="J75" s="22">
        <v>0</v>
      </c>
      <c r="K75" s="25">
        <v>0</v>
      </c>
      <c r="L75" s="22">
        <v>0</v>
      </c>
      <c r="M75" s="25">
        <v>0</v>
      </c>
      <c r="N75" s="19">
        <v>0</v>
      </c>
      <c r="O75" s="19">
        <v>0</v>
      </c>
      <c r="P75" s="16">
        <v>0</v>
      </c>
      <c r="Q75" s="19">
        <v>0</v>
      </c>
      <c r="R75" s="16">
        <v>0</v>
      </c>
      <c r="S75" s="25">
        <v>1.9321555771670734E-5</v>
      </c>
      <c r="T75" s="22">
        <v>0</v>
      </c>
      <c r="U75" s="25">
        <v>0</v>
      </c>
      <c r="V75" s="22">
        <v>0</v>
      </c>
      <c r="W75" s="25">
        <v>0</v>
      </c>
    </row>
    <row r="76" spans="1:23" x14ac:dyDescent="0.2">
      <c r="A76" s="6" t="s">
        <v>867</v>
      </c>
      <c r="B76" s="19">
        <v>0</v>
      </c>
      <c r="C76" s="16">
        <v>0</v>
      </c>
      <c r="D76" s="19">
        <v>0</v>
      </c>
      <c r="E76" s="16">
        <v>0</v>
      </c>
      <c r="F76" s="19">
        <v>0</v>
      </c>
      <c r="G76" s="16">
        <v>0</v>
      </c>
      <c r="H76" s="22">
        <v>1.6968288878591893E-4</v>
      </c>
      <c r="I76" s="25">
        <v>1.931794766124047E-5</v>
      </c>
      <c r="J76" s="22">
        <v>0</v>
      </c>
      <c r="K76" s="25">
        <v>0</v>
      </c>
      <c r="L76" s="22">
        <v>0</v>
      </c>
      <c r="M76" s="25">
        <v>0</v>
      </c>
      <c r="N76" s="19">
        <v>0</v>
      </c>
      <c r="O76" s="19">
        <v>0</v>
      </c>
      <c r="P76" s="16">
        <v>0</v>
      </c>
      <c r="Q76" s="19">
        <v>0</v>
      </c>
      <c r="R76" s="16">
        <v>0</v>
      </c>
      <c r="S76" s="25">
        <v>0</v>
      </c>
      <c r="T76" s="22">
        <v>0</v>
      </c>
      <c r="U76" s="25">
        <v>0</v>
      </c>
      <c r="V76" s="22">
        <v>0</v>
      </c>
      <c r="W76" s="25">
        <v>0</v>
      </c>
    </row>
    <row r="77" spans="1:23" x14ac:dyDescent="0.2">
      <c r="A77" s="6" t="s">
        <v>866</v>
      </c>
      <c r="B77" s="19">
        <v>0</v>
      </c>
      <c r="C77" s="16">
        <v>0</v>
      </c>
      <c r="D77" s="19">
        <v>0</v>
      </c>
      <c r="E77" s="16">
        <v>0</v>
      </c>
      <c r="F77" s="19">
        <v>0</v>
      </c>
      <c r="G77" s="16">
        <v>0</v>
      </c>
      <c r="H77" s="22">
        <v>0</v>
      </c>
      <c r="I77" s="25">
        <v>0</v>
      </c>
      <c r="J77" s="22">
        <v>0</v>
      </c>
      <c r="K77" s="25">
        <v>0</v>
      </c>
      <c r="L77" s="22">
        <v>0</v>
      </c>
      <c r="M77" s="25">
        <v>0</v>
      </c>
      <c r="N77" s="19">
        <v>0</v>
      </c>
      <c r="O77" s="19">
        <v>0</v>
      </c>
      <c r="P77" s="16">
        <v>0</v>
      </c>
      <c r="Q77" s="19">
        <v>0</v>
      </c>
      <c r="R77" s="16">
        <v>0</v>
      </c>
      <c r="S77" s="25">
        <v>0</v>
      </c>
      <c r="T77" s="22">
        <v>3.1591184795794582E-5</v>
      </c>
      <c r="U77" s="25">
        <v>2.5464731347084288E-5</v>
      </c>
      <c r="V77" s="22">
        <v>0</v>
      </c>
      <c r="W77" s="25">
        <v>0</v>
      </c>
    </row>
    <row r="78" spans="1:23" x14ac:dyDescent="0.2">
      <c r="A78" s="6" t="s">
        <v>865</v>
      </c>
      <c r="B78" s="19">
        <v>6.9279179226823199E-3</v>
      </c>
      <c r="C78" s="16">
        <v>4.5961330711060649E-2</v>
      </c>
      <c r="D78" s="19">
        <v>6.5731035707941032E-3</v>
      </c>
      <c r="E78" s="16">
        <v>1.2695717148388406E-2</v>
      </c>
      <c r="F78" s="19">
        <v>1.0703632216178274E-2</v>
      </c>
      <c r="G78" s="16">
        <v>7.0599579846402872E-3</v>
      </c>
      <c r="H78" s="22">
        <v>4.6140693219863336E-3</v>
      </c>
      <c r="I78" s="25">
        <v>2.419250978776015E-2</v>
      </c>
      <c r="J78" s="22">
        <v>1.7857618984135445E-2</v>
      </c>
      <c r="K78" s="25">
        <v>1.3257728089224916E-2</v>
      </c>
      <c r="L78" s="22">
        <v>8.5950372574576384E-3</v>
      </c>
      <c r="M78" s="25">
        <v>1.0236115729963418E-2</v>
      </c>
      <c r="N78" s="19">
        <v>1.310041058312366E-2</v>
      </c>
      <c r="O78" s="19">
        <v>9.93727980788979E-3</v>
      </c>
      <c r="P78" s="16">
        <v>1.511879049676026E-2</v>
      </c>
      <c r="Q78" s="19">
        <v>8.5403933918706092E-3</v>
      </c>
      <c r="R78" s="16">
        <v>9.1832216969679643E-3</v>
      </c>
      <c r="S78" s="25">
        <v>2.0268312004482605E-2</v>
      </c>
      <c r="T78" s="22">
        <v>1.3969621916700361E-2</v>
      </c>
      <c r="U78" s="25">
        <v>9.8548510313216167E-3</v>
      </c>
      <c r="V78" s="22">
        <v>1.2710235615126256E-2</v>
      </c>
      <c r="W78" s="25">
        <v>1.8297960024726969E-2</v>
      </c>
    </row>
    <row r="79" spans="1:23" x14ac:dyDescent="0.2">
      <c r="A79" s="6" t="s">
        <v>864</v>
      </c>
      <c r="B79" s="19">
        <v>0</v>
      </c>
      <c r="C79" s="16">
        <v>0</v>
      </c>
      <c r="D79" s="19">
        <v>2.842423165748801E-5</v>
      </c>
      <c r="E79" s="16">
        <v>0</v>
      </c>
      <c r="F79" s="19">
        <v>0</v>
      </c>
      <c r="G79" s="16">
        <v>0</v>
      </c>
      <c r="H79" s="22">
        <v>0</v>
      </c>
      <c r="I79" s="25">
        <v>0</v>
      </c>
      <c r="J79" s="22">
        <v>0</v>
      </c>
      <c r="K79" s="25">
        <v>0</v>
      </c>
      <c r="L79" s="22">
        <v>0</v>
      </c>
      <c r="M79" s="25">
        <v>0</v>
      </c>
      <c r="N79" s="19">
        <v>0</v>
      </c>
      <c r="O79" s="19">
        <v>0</v>
      </c>
      <c r="P79" s="16">
        <v>7.7598582532559067E-5</v>
      </c>
      <c r="Q79" s="19">
        <v>0</v>
      </c>
      <c r="R79" s="16">
        <v>0</v>
      </c>
      <c r="S79" s="25">
        <v>0</v>
      </c>
      <c r="T79" s="22">
        <v>0</v>
      </c>
      <c r="U79" s="25">
        <v>0</v>
      </c>
      <c r="V79" s="22">
        <v>0</v>
      </c>
      <c r="W79" s="25">
        <v>0</v>
      </c>
    </row>
    <row r="80" spans="1:23" x14ac:dyDescent="0.2">
      <c r="A80" s="6" t="s">
        <v>863</v>
      </c>
      <c r="B80" s="19">
        <v>0</v>
      </c>
      <c r="C80" s="16">
        <v>1.3850031855073266E-5</v>
      </c>
      <c r="D80" s="19">
        <v>0</v>
      </c>
      <c r="E80" s="16">
        <v>0</v>
      </c>
      <c r="F80" s="19">
        <v>0</v>
      </c>
      <c r="G80" s="16">
        <v>0</v>
      </c>
      <c r="H80" s="22">
        <v>0</v>
      </c>
      <c r="I80" s="25">
        <v>0</v>
      </c>
      <c r="J80" s="22">
        <v>0</v>
      </c>
      <c r="K80" s="25">
        <v>0</v>
      </c>
      <c r="L80" s="22">
        <v>0</v>
      </c>
      <c r="M80" s="25">
        <v>0</v>
      </c>
      <c r="N80" s="19">
        <v>0</v>
      </c>
      <c r="O80" s="19">
        <v>0</v>
      </c>
      <c r="P80" s="16">
        <v>0</v>
      </c>
      <c r="Q80" s="19">
        <v>0</v>
      </c>
      <c r="R80" s="16">
        <v>0</v>
      </c>
      <c r="S80" s="25">
        <v>0</v>
      </c>
      <c r="T80" s="22">
        <v>0</v>
      </c>
      <c r="U80" s="25">
        <v>0</v>
      </c>
      <c r="V80" s="22">
        <v>0</v>
      </c>
      <c r="W80" s="25">
        <v>0</v>
      </c>
    </row>
    <row r="81" spans="1:23" x14ac:dyDescent="0.2">
      <c r="A81" s="6" t="s">
        <v>862</v>
      </c>
      <c r="B81" s="19">
        <v>3.8738167010418322E-3</v>
      </c>
      <c r="C81" s="16">
        <v>2.9500567851306059E-3</v>
      </c>
      <c r="D81" s="19">
        <v>2.8850595132350327E-3</v>
      </c>
      <c r="E81" s="16">
        <v>6.7248582005909724E-4</v>
      </c>
      <c r="F81" s="19">
        <v>2.8838011245298566E-3</v>
      </c>
      <c r="G81" s="16">
        <v>5.6824052071494991E-4</v>
      </c>
      <c r="H81" s="22">
        <v>2.4799806822557382E-4</v>
      </c>
      <c r="I81" s="25">
        <v>1.8030084483824438E-4</v>
      </c>
      <c r="J81" s="22">
        <v>0</v>
      </c>
      <c r="K81" s="25">
        <v>4.0215555376819756E-5</v>
      </c>
      <c r="L81" s="22">
        <v>9.5295477461082557E-4</v>
      </c>
      <c r="M81" s="25">
        <v>5.4539408047888261E-4</v>
      </c>
      <c r="N81" s="19">
        <v>3.1077616346826195E-3</v>
      </c>
      <c r="O81" s="19">
        <v>3.7916488933124794E-4</v>
      </c>
      <c r="P81" s="16">
        <v>2.4637549954087505E-3</v>
      </c>
      <c r="Q81" s="19">
        <v>1.0408604446342309E-3</v>
      </c>
      <c r="R81" s="16">
        <v>1.163969779631243E-3</v>
      </c>
      <c r="S81" s="25">
        <v>2.8338281798450412E-4</v>
      </c>
      <c r="T81" s="22">
        <v>4.422765871411241E-4</v>
      </c>
      <c r="U81" s="25">
        <v>1.4642220524573466E-4</v>
      </c>
      <c r="V81" s="22">
        <v>3.9699793939164792E-4</v>
      </c>
      <c r="W81" s="25">
        <v>3.8738924376674223E-4</v>
      </c>
    </row>
    <row r="82" spans="1:23" x14ac:dyDescent="0.2">
      <c r="A82" s="6" t="s">
        <v>861</v>
      </c>
      <c r="B82" s="19">
        <v>0</v>
      </c>
      <c r="C82" s="16">
        <v>0</v>
      </c>
      <c r="D82" s="19">
        <v>0</v>
      </c>
      <c r="E82" s="16">
        <v>0</v>
      </c>
      <c r="F82" s="19">
        <v>0</v>
      </c>
      <c r="G82" s="16">
        <v>0</v>
      </c>
      <c r="H82" s="22">
        <v>0</v>
      </c>
      <c r="I82" s="25">
        <v>0</v>
      </c>
      <c r="J82" s="22">
        <v>0</v>
      </c>
      <c r="K82" s="25">
        <v>0</v>
      </c>
      <c r="L82" s="22">
        <v>0</v>
      </c>
      <c r="M82" s="25">
        <v>0</v>
      </c>
      <c r="N82" s="19">
        <v>0</v>
      </c>
      <c r="O82" s="19">
        <v>0</v>
      </c>
      <c r="P82" s="16">
        <v>6.4665485443799232E-5</v>
      </c>
      <c r="Q82" s="19">
        <v>0</v>
      </c>
      <c r="R82" s="16">
        <v>0</v>
      </c>
      <c r="S82" s="25">
        <v>0</v>
      </c>
      <c r="T82" s="22">
        <v>0</v>
      </c>
      <c r="U82" s="25">
        <v>0</v>
      </c>
      <c r="V82" s="22">
        <v>0</v>
      </c>
      <c r="W82" s="25">
        <v>0</v>
      </c>
    </row>
    <row r="83" spans="1:23" x14ac:dyDescent="0.2">
      <c r="A83" s="6" t="s">
        <v>860</v>
      </c>
      <c r="B83" s="19">
        <v>0</v>
      </c>
      <c r="C83" s="16">
        <v>0</v>
      </c>
      <c r="D83" s="19">
        <v>0</v>
      </c>
      <c r="E83" s="16">
        <v>0</v>
      </c>
      <c r="F83" s="19">
        <v>0</v>
      </c>
      <c r="G83" s="16">
        <v>0</v>
      </c>
      <c r="H83" s="22">
        <v>0</v>
      </c>
      <c r="I83" s="25">
        <v>0</v>
      </c>
      <c r="J83" s="22">
        <v>1.9997333688841487E-5</v>
      </c>
      <c r="K83" s="25">
        <v>0</v>
      </c>
      <c r="L83" s="22">
        <v>0</v>
      </c>
      <c r="M83" s="25">
        <v>1.3302294645826405E-5</v>
      </c>
      <c r="N83" s="19">
        <v>0</v>
      </c>
      <c r="O83" s="19">
        <v>0</v>
      </c>
      <c r="P83" s="16">
        <v>1.2933097088759846E-5</v>
      </c>
      <c r="Q83" s="19">
        <v>0</v>
      </c>
      <c r="R83" s="16">
        <v>3.5704594467216042E-5</v>
      </c>
      <c r="S83" s="25">
        <v>0</v>
      </c>
      <c r="T83" s="22">
        <v>0</v>
      </c>
      <c r="U83" s="25">
        <v>0</v>
      </c>
      <c r="V83" s="22">
        <v>0</v>
      </c>
      <c r="W83" s="25">
        <v>1.6484648670925202E-5</v>
      </c>
    </row>
    <row r="84" spans="1:23" x14ac:dyDescent="0.2">
      <c r="A84" s="6" t="s">
        <v>859</v>
      </c>
      <c r="B84" s="19">
        <v>1.4543339150668993E-4</v>
      </c>
      <c r="C84" s="16">
        <v>3.8087587601451481E-4</v>
      </c>
      <c r="D84" s="19">
        <v>1.4922721620181205E-4</v>
      </c>
      <c r="E84" s="16">
        <v>1.7661243759127806E-4</v>
      </c>
      <c r="F84" s="19">
        <v>5.3403724528330679E-5</v>
      </c>
      <c r="G84" s="16">
        <v>1.6358439232703104E-4</v>
      </c>
      <c r="H84" s="22">
        <v>9.7893974299568615E-5</v>
      </c>
      <c r="I84" s="25">
        <v>0</v>
      </c>
      <c r="J84" s="22">
        <v>3.9994667377682974E-5</v>
      </c>
      <c r="K84" s="25">
        <v>0</v>
      </c>
      <c r="L84" s="22">
        <v>4.3036667240488894E-5</v>
      </c>
      <c r="M84" s="25">
        <v>3.9906883937479216E-5</v>
      </c>
      <c r="N84" s="19">
        <v>5.4983475075154049E-4</v>
      </c>
      <c r="O84" s="19">
        <v>1.0348041771331975E-3</v>
      </c>
      <c r="P84" s="16">
        <v>3.6212671848527566E-4</v>
      </c>
      <c r="Q84" s="19">
        <v>1.3344364674797832E-4</v>
      </c>
      <c r="R84" s="16">
        <v>2.7135491795084188E-4</v>
      </c>
      <c r="S84" s="25">
        <v>3.2202592952784557E-5</v>
      </c>
      <c r="T84" s="22">
        <v>1.5163768701981399E-4</v>
      </c>
      <c r="U84" s="25">
        <v>5.0929462694168576E-5</v>
      </c>
      <c r="V84" s="22">
        <v>0</v>
      </c>
      <c r="W84" s="25">
        <v>0</v>
      </c>
    </row>
    <row r="85" spans="1:23" x14ac:dyDescent="0.2">
      <c r="A85" s="6" t="s">
        <v>858</v>
      </c>
      <c r="B85" s="19">
        <v>0</v>
      </c>
      <c r="C85" s="16">
        <v>0</v>
      </c>
      <c r="D85" s="19">
        <v>0</v>
      </c>
      <c r="E85" s="16">
        <v>0</v>
      </c>
      <c r="F85" s="19">
        <v>0</v>
      </c>
      <c r="G85" s="16">
        <v>0</v>
      </c>
      <c r="H85" s="22">
        <v>0</v>
      </c>
      <c r="I85" s="25">
        <v>0</v>
      </c>
      <c r="J85" s="22">
        <v>0</v>
      </c>
      <c r="K85" s="25">
        <v>0</v>
      </c>
      <c r="L85" s="22">
        <v>0</v>
      </c>
      <c r="M85" s="25">
        <v>0</v>
      </c>
      <c r="N85" s="19">
        <v>0</v>
      </c>
      <c r="O85" s="19">
        <v>0</v>
      </c>
      <c r="P85" s="16">
        <v>0</v>
      </c>
      <c r="Q85" s="19">
        <v>2.6688729349595664E-5</v>
      </c>
      <c r="R85" s="16">
        <v>0</v>
      </c>
      <c r="S85" s="25">
        <v>0</v>
      </c>
      <c r="T85" s="22">
        <v>0</v>
      </c>
      <c r="U85" s="25">
        <v>0</v>
      </c>
      <c r="V85" s="22">
        <v>0</v>
      </c>
      <c r="W85" s="25">
        <v>0</v>
      </c>
    </row>
    <row r="86" spans="1:23" x14ac:dyDescent="0.2">
      <c r="A86" s="6" t="s">
        <v>857</v>
      </c>
      <c r="B86" s="19">
        <v>0</v>
      </c>
      <c r="C86" s="16">
        <v>0</v>
      </c>
      <c r="D86" s="19">
        <v>0</v>
      </c>
      <c r="E86" s="16">
        <v>0</v>
      </c>
      <c r="F86" s="19">
        <v>0</v>
      </c>
      <c r="G86" s="16">
        <v>6.026793401522196E-5</v>
      </c>
      <c r="H86" s="22">
        <v>3.9157589719827446E-5</v>
      </c>
      <c r="I86" s="25">
        <v>0</v>
      </c>
      <c r="J86" s="22">
        <v>0</v>
      </c>
      <c r="K86" s="25">
        <v>0</v>
      </c>
      <c r="L86" s="22">
        <v>0</v>
      </c>
      <c r="M86" s="25">
        <v>0</v>
      </c>
      <c r="N86" s="19">
        <v>0</v>
      </c>
      <c r="O86" s="19">
        <v>0</v>
      </c>
      <c r="P86" s="16">
        <v>0</v>
      </c>
      <c r="Q86" s="19">
        <v>5.3377458699191329E-5</v>
      </c>
      <c r="R86" s="16">
        <v>0</v>
      </c>
      <c r="S86" s="25">
        <v>2.5762074362227647E-5</v>
      </c>
      <c r="T86" s="22">
        <v>6.3182369591589164E-5</v>
      </c>
      <c r="U86" s="25">
        <v>0</v>
      </c>
      <c r="V86" s="22">
        <v>0</v>
      </c>
      <c r="W86" s="25">
        <v>0</v>
      </c>
    </row>
    <row r="87" spans="1:23" x14ac:dyDescent="0.2">
      <c r="A87" s="6" t="s">
        <v>856</v>
      </c>
      <c r="B87" s="19">
        <v>0</v>
      </c>
      <c r="C87" s="16">
        <v>0</v>
      </c>
      <c r="D87" s="19">
        <v>0</v>
      </c>
      <c r="E87" s="16">
        <v>0</v>
      </c>
      <c r="F87" s="19">
        <v>0</v>
      </c>
      <c r="G87" s="16">
        <v>0</v>
      </c>
      <c r="H87" s="22">
        <v>6.5262649533045743E-5</v>
      </c>
      <c r="I87" s="25">
        <v>0</v>
      </c>
      <c r="J87" s="22">
        <v>0</v>
      </c>
      <c r="K87" s="25">
        <v>0</v>
      </c>
      <c r="L87" s="22">
        <v>0</v>
      </c>
      <c r="M87" s="25">
        <v>0</v>
      </c>
      <c r="N87" s="19">
        <v>0</v>
      </c>
      <c r="O87" s="19">
        <v>0</v>
      </c>
      <c r="P87" s="16">
        <v>0</v>
      </c>
      <c r="Q87" s="19">
        <v>0</v>
      </c>
      <c r="R87" s="16">
        <v>0</v>
      </c>
      <c r="S87" s="25">
        <v>0</v>
      </c>
      <c r="T87" s="22">
        <v>0</v>
      </c>
      <c r="U87" s="25">
        <v>0</v>
      </c>
      <c r="V87" s="22">
        <v>0</v>
      </c>
      <c r="W87" s="25">
        <v>0</v>
      </c>
    </row>
    <row r="88" spans="1:23" x14ac:dyDescent="0.2">
      <c r="A88" s="6" t="s">
        <v>855</v>
      </c>
      <c r="B88" s="19">
        <v>0</v>
      </c>
      <c r="C88" s="16">
        <v>0</v>
      </c>
      <c r="D88" s="19">
        <v>0</v>
      </c>
      <c r="E88" s="16">
        <v>0</v>
      </c>
      <c r="F88" s="19">
        <v>0</v>
      </c>
      <c r="G88" s="16">
        <v>0</v>
      </c>
      <c r="H88" s="22">
        <v>0</v>
      </c>
      <c r="I88" s="25">
        <v>0</v>
      </c>
      <c r="J88" s="22">
        <v>0</v>
      </c>
      <c r="K88" s="25">
        <v>0</v>
      </c>
      <c r="L88" s="22">
        <v>0</v>
      </c>
      <c r="M88" s="25">
        <v>0</v>
      </c>
      <c r="N88" s="19">
        <v>0</v>
      </c>
      <c r="O88" s="19">
        <v>0</v>
      </c>
      <c r="P88" s="16">
        <v>0</v>
      </c>
      <c r="Q88" s="19">
        <v>0</v>
      </c>
      <c r="R88" s="16">
        <v>0</v>
      </c>
      <c r="S88" s="25">
        <v>0</v>
      </c>
      <c r="T88" s="22">
        <v>6.3182369591589164E-5</v>
      </c>
      <c r="U88" s="25">
        <v>0</v>
      </c>
      <c r="V88" s="22">
        <v>0</v>
      </c>
      <c r="W88" s="25">
        <v>0</v>
      </c>
    </row>
    <row r="89" spans="1:23" x14ac:dyDescent="0.2">
      <c r="A89" s="6" t="s">
        <v>854</v>
      </c>
      <c r="B89" s="19">
        <v>0</v>
      </c>
      <c r="C89" s="16">
        <v>0</v>
      </c>
      <c r="D89" s="19">
        <v>0</v>
      </c>
      <c r="E89" s="16">
        <v>0</v>
      </c>
      <c r="F89" s="19">
        <v>0</v>
      </c>
      <c r="G89" s="16">
        <v>0</v>
      </c>
      <c r="H89" s="22">
        <v>0</v>
      </c>
      <c r="I89" s="25">
        <v>0</v>
      </c>
      <c r="J89" s="22">
        <v>0</v>
      </c>
      <c r="K89" s="25">
        <v>0</v>
      </c>
      <c r="L89" s="22">
        <v>0</v>
      </c>
      <c r="M89" s="25">
        <v>0</v>
      </c>
      <c r="N89" s="19">
        <v>0</v>
      </c>
      <c r="O89" s="19">
        <v>0</v>
      </c>
      <c r="P89" s="16">
        <v>2.5866194177519691E-5</v>
      </c>
      <c r="Q89" s="19">
        <v>0</v>
      </c>
      <c r="R89" s="16">
        <v>0</v>
      </c>
      <c r="S89" s="25">
        <v>0</v>
      </c>
      <c r="T89" s="22">
        <v>0</v>
      </c>
      <c r="U89" s="25">
        <v>0</v>
      </c>
      <c r="V89" s="22">
        <v>0</v>
      </c>
      <c r="W89" s="25">
        <v>0</v>
      </c>
    </row>
    <row r="90" spans="1:23" x14ac:dyDescent="0.2">
      <c r="A90" s="6" t="s">
        <v>853</v>
      </c>
      <c r="B90" s="19">
        <v>0</v>
      </c>
      <c r="C90" s="16">
        <v>0</v>
      </c>
      <c r="D90" s="19">
        <v>0</v>
      </c>
      <c r="E90" s="16">
        <v>0</v>
      </c>
      <c r="F90" s="19">
        <v>0</v>
      </c>
      <c r="G90" s="16">
        <v>0</v>
      </c>
      <c r="H90" s="22">
        <v>0</v>
      </c>
      <c r="I90" s="25">
        <v>0</v>
      </c>
      <c r="J90" s="22">
        <v>0</v>
      </c>
      <c r="K90" s="25">
        <v>0</v>
      </c>
      <c r="L90" s="22">
        <v>0</v>
      </c>
      <c r="M90" s="25">
        <v>1.9953441968739608E-5</v>
      </c>
      <c r="N90" s="19">
        <v>0</v>
      </c>
      <c r="O90" s="19">
        <v>0</v>
      </c>
      <c r="P90" s="16">
        <v>0</v>
      </c>
      <c r="Q90" s="19">
        <v>0</v>
      </c>
      <c r="R90" s="16">
        <v>0</v>
      </c>
      <c r="S90" s="25">
        <v>0</v>
      </c>
      <c r="T90" s="22">
        <v>4.4227658714112412E-5</v>
      </c>
      <c r="U90" s="25">
        <v>0</v>
      </c>
      <c r="V90" s="22">
        <v>0</v>
      </c>
      <c r="W90" s="25">
        <v>0</v>
      </c>
    </row>
    <row r="91" spans="1:23" x14ac:dyDescent="0.2">
      <c r="A91" s="6" t="s">
        <v>852</v>
      </c>
      <c r="B91" s="19">
        <v>0</v>
      </c>
      <c r="C91" s="16">
        <v>0</v>
      </c>
      <c r="D91" s="19">
        <v>0</v>
      </c>
      <c r="E91" s="16">
        <v>0</v>
      </c>
      <c r="F91" s="19">
        <v>0</v>
      </c>
      <c r="G91" s="16">
        <v>0</v>
      </c>
      <c r="H91" s="22">
        <v>0</v>
      </c>
      <c r="I91" s="25">
        <v>0</v>
      </c>
      <c r="J91" s="22">
        <v>0</v>
      </c>
      <c r="K91" s="25">
        <v>0</v>
      </c>
      <c r="L91" s="22">
        <v>0</v>
      </c>
      <c r="M91" s="25">
        <v>0</v>
      </c>
      <c r="N91" s="19">
        <v>0</v>
      </c>
      <c r="O91" s="19">
        <v>0</v>
      </c>
      <c r="P91" s="16">
        <v>0</v>
      </c>
      <c r="Q91" s="19">
        <v>0</v>
      </c>
      <c r="R91" s="16">
        <v>3.5704594467216042E-5</v>
      </c>
      <c r="S91" s="25">
        <v>0</v>
      </c>
      <c r="T91" s="22">
        <v>0</v>
      </c>
      <c r="U91" s="25">
        <v>0</v>
      </c>
      <c r="V91" s="22">
        <v>0</v>
      </c>
      <c r="W91" s="25">
        <v>0</v>
      </c>
    </row>
    <row r="92" spans="1:23" x14ac:dyDescent="0.2">
      <c r="A92" s="6" t="s">
        <v>851</v>
      </c>
      <c r="B92" s="19">
        <v>3.9002591358612299E-4</v>
      </c>
      <c r="C92" s="16">
        <v>0</v>
      </c>
      <c r="D92" s="19">
        <v>0</v>
      </c>
      <c r="E92" s="16">
        <v>0</v>
      </c>
      <c r="F92" s="19">
        <v>3.0516414016188958E-5</v>
      </c>
      <c r="G92" s="16">
        <v>6.1989874987085445E-4</v>
      </c>
      <c r="H92" s="22">
        <v>0</v>
      </c>
      <c r="I92" s="25">
        <v>0</v>
      </c>
      <c r="J92" s="22">
        <v>0</v>
      </c>
      <c r="K92" s="25">
        <v>0</v>
      </c>
      <c r="L92" s="22">
        <v>0</v>
      </c>
      <c r="M92" s="25">
        <v>0</v>
      </c>
      <c r="N92" s="19">
        <v>0</v>
      </c>
      <c r="O92" s="19">
        <v>0</v>
      </c>
      <c r="P92" s="16">
        <v>0</v>
      </c>
      <c r="Q92" s="19">
        <v>0</v>
      </c>
      <c r="R92" s="16">
        <v>0</v>
      </c>
      <c r="S92" s="25">
        <v>0</v>
      </c>
      <c r="T92" s="22">
        <v>0</v>
      </c>
      <c r="U92" s="25">
        <v>0</v>
      </c>
      <c r="V92" s="22">
        <v>0</v>
      </c>
      <c r="W92" s="25">
        <v>0</v>
      </c>
    </row>
    <row r="93" spans="1:23" x14ac:dyDescent="0.2">
      <c r="A93" s="6" t="s">
        <v>850</v>
      </c>
      <c r="B93" s="19">
        <v>0</v>
      </c>
      <c r="C93" s="16">
        <v>0</v>
      </c>
      <c r="D93" s="19">
        <v>0</v>
      </c>
      <c r="E93" s="16">
        <v>0</v>
      </c>
      <c r="F93" s="19">
        <v>0</v>
      </c>
      <c r="G93" s="16">
        <v>0</v>
      </c>
      <c r="H93" s="22">
        <v>0</v>
      </c>
      <c r="I93" s="25">
        <v>0</v>
      </c>
      <c r="J93" s="22">
        <v>0</v>
      </c>
      <c r="K93" s="25">
        <v>0</v>
      </c>
      <c r="L93" s="22">
        <v>0</v>
      </c>
      <c r="M93" s="25">
        <v>0</v>
      </c>
      <c r="N93" s="19">
        <v>0</v>
      </c>
      <c r="O93" s="19">
        <v>0</v>
      </c>
      <c r="P93" s="16">
        <v>0</v>
      </c>
      <c r="Q93" s="19">
        <v>0</v>
      </c>
      <c r="R93" s="16">
        <v>0</v>
      </c>
      <c r="S93" s="25">
        <v>0</v>
      </c>
      <c r="T93" s="22">
        <v>1.2636473918317832E-5</v>
      </c>
      <c r="U93" s="25">
        <v>0</v>
      </c>
      <c r="V93" s="22">
        <v>0</v>
      </c>
      <c r="W93" s="25">
        <v>0</v>
      </c>
    </row>
    <row r="94" spans="1:23" x14ac:dyDescent="0.2">
      <c r="A94" s="6" t="s">
        <v>849</v>
      </c>
      <c r="B94" s="19">
        <v>0</v>
      </c>
      <c r="C94" s="16">
        <v>0</v>
      </c>
      <c r="D94" s="19">
        <v>4.2636347486232012E-5</v>
      </c>
      <c r="E94" s="16">
        <v>0</v>
      </c>
      <c r="F94" s="19">
        <v>0</v>
      </c>
      <c r="G94" s="16">
        <v>1.0331645831180907E-4</v>
      </c>
      <c r="H94" s="22">
        <v>0</v>
      </c>
      <c r="I94" s="25">
        <v>0</v>
      </c>
      <c r="J94" s="22">
        <v>0</v>
      </c>
      <c r="K94" s="25">
        <v>0</v>
      </c>
      <c r="L94" s="22">
        <v>0</v>
      </c>
      <c r="M94" s="25">
        <v>0</v>
      </c>
      <c r="N94" s="19">
        <v>0</v>
      </c>
      <c r="O94" s="19">
        <v>0</v>
      </c>
      <c r="P94" s="16">
        <v>0</v>
      </c>
      <c r="Q94" s="19">
        <v>0</v>
      </c>
      <c r="R94" s="16">
        <v>0</v>
      </c>
      <c r="S94" s="25">
        <v>0</v>
      </c>
      <c r="T94" s="22">
        <v>0</v>
      </c>
      <c r="U94" s="25">
        <v>0</v>
      </c>
      <c r="V94" s="22">
        <v>0</v>
      </c>
      <c r="W94" s="25">
        <v>0</v>
      </c>
    </row>
    <row r="95" spans="1:23" x14ac:dyDescent="0.2">
      <c r="A95" s="6" t="s">
        <v>848</v>
      </c>
      <c r="B95" s="19">
        <v>0</v>
      </c>
      <c r="C95" s="16">
        <v>0</v>
      </c>
      <c r="D95" s="19">
        <v>0</v>
      </c>
      <c r="E95" s="16">
        <v>0</v>
      </c>
      <c r="F95" s="19">
        <v>0</v>
      </c>
      <c r="G95" s="16">
        <v>0</v>
      </c>
      <c r="H95" s="22">
        <v>7.1788914486350318E-5</v>
      </c>
      <c r="I95" s="25">
        <v>0</v>
      </c>
      <c r="J95" s="22">
        <v>0</v>
      </c>
      <c r="K95" s="25">
        <v>0</v>
      </c>
      <c r="L95" s="22">
        <v>0</v>
      </c>
      <c r="M95" s="25">
        <v>0</v>
      </c>
      <c r="N95" s="19">
        <v>0</v>
      </c>
      <c r="O95" s="19">
        <v>0</v>
      </c>
      <c r="P95" s="16">
        <v>0</v>
      </c>
      <c r="Q95" s="19">
        <v>2.6688729349595664E-5</v>
      </c>
      <c r="R95" s="16">
        <v>0</v>
      </c>
      <c r="S95" s="25">
        <v>0</v>
      </c>
      <c r="T95" s="22">
        <v>0</v>
      </c>
      <c r="U95" s="25">
        <v>0</v>
      </c>
      <c r="V95" s="22">
        <v>0</v>
      </c>
      <c r="W95" s="25">
        <v>0</v>
      </c>
    </row>
    <row r="96" spans="1:23" x14ac:dyDescent="0.2">
      <c r="A96" s="6" t="s">
        <v>847</v>
      </c>
      <c r="B96" s="19">
        <v>1.1039716537098736E-3</v>
      </c>
      <c r="C96" s="16">
        <v>6.9250159275366336E-5</v>
      </c>
      <c r="D96" s="19">
        <v>3.9793924320483218E-4</v>
      </c>
      <c r="E96" s="16">
        <v>6.1135074550827022E-5</v>
      </c>
      <c r="F96" s="19">
        <v>7.3239393638853498E-4</v>
      </c>
      <c r="G96" s="16">
        <v>4.3048524296587115E-5</v>
      </c>
      <c r="H96" s="22">
        <v>1.1747276915948234E-4</v>
      </c>
      <c r="I96" s="25">
        <v>0</v>
      </c>
      <c r="J96" s="22">
        <v>0</v>
      </c>
      <c r="K96" s="25">
        <v>0</v>
      </c>
      <c r="L96" s="22">
        <v>4.9184762560558742E-4</v>
      </c>
      <c r="M96" s="25">
        <v>1.7958097771865646E-4</v>
      </c>
      <c r="N96" s="19">
        <v>2.3905858728327846E-4</v>
      </c>
      <c r="O96" s="19">
        <v>5.5294879694140323E-5</v>
      </c>
      <c r="P96" s="16">
        <v>1.2286442234321854E-4</v>
      </c>
      <c r="Q96" s="19">
        <v>5.3377458699191329E-5</v>
      </c>
      <c r="R96" s="16">
        <v>1.1425470229509134E-4</v>
      </c>
      <c r="S96" s="25">
        <v>0</v>
      </c>
      <c r="T96" s="22">
        <v>1.137282652648605E-4</v>
      </c>
      <c r="U96" s="25">
        <v>0</v>
      </c>
      <c r="V96" s="22">
        <v>2.6466529292776524E-4</v>
      </c>
      <c r="W96" s="25">
        <v>0</v>
      </c>
    </row>
    <row r="97" spans="1:23" x14ac:dyDescent="0.2">
      <c r="A97" s="6" t="s">
        <v>846</v>
      </c>
      <c r="B97" s="19">
        <v>1.3221217409699086E-5</v>
      </c>
      <c r="C97" s="16">
        <v>1.2465028669565939E-4</v>
      </c>
      <c r="D97" s="19">
        <v>0</v>
      </c>
      <c r="E97" s="16">
        <v>0</v>
      </c>
      <c r="F97" s="19">
        <v>4.2722979622664543E-4</v>
      </c>
      <c r="G97" s="16">
        <v>0</v>
      </c>
      <c r="H97" s="22">
        <v>1.0442023925287319E-4</v>
      </c>
      <c r="I97" s="25">
        <v>0</v>
      </c>
      <c r="J97" s="22">
        <v>2.6663111585121983E-5</v>
      </c>
      <c r="K97" s="25">
        <v>0</v>
      </c>
      <c r="L97" s="22">
        <v>3.6888571920419054E-5</v>
      </c>
      <c r="M97" s="25">
        <v>2.2613900897904888E-4</v>
      </c>
      <c r="N97" s="19">
        <v>2.8687030473993413E-4</v>
      </c>
      <c r="O97" s="19">
        <v>0</v>
      </c>
      <c r="P97" s="16">
        <v>3.2332742721899616E-5</v>
      </c>
      <c r="Q97" s="19">
        <v>0</v>
      </c>
      <c r="R97" s="16">
        <v>0</v>
      </c>
      <c r="S97" s="25">
        <v>0</v>
      </c>
      <c r="T97" s="22">
        <v>0</v>
      </c>
      <c r="U97" s="25">
        <v>3.1830914183855358E-5</v>
      </c>
      <c r="V97" s="22">
        <v>3.7809327561109323E-5</v>
      </c>
      <c r="W97" s="25">
        <v>0</v>
      </c>
    </row>
    <row r="98" spans="1:23" x14ac:dyDescent="0.2">
      <c r="A98" s="6" t="s">
        <v>845</v>
      </c>
      <c r="B98" s="19">
        <v>1.9831826114548629E-5</v>
      </c>
      <c r="C98" s="16">
        <v>0</v>
      </c>
      <c r="D98" s="19">
        <v>1.2790904245869604E-4</v>
      </c>
      <c r="E98" s="16">
        <v>0</v>
      </c>
      <c r="F98" s="19">
        <v>3.8145517520236195E-4</v>
      </c>
      <c r="G98" s="16">
        <v>0</v>
      </c>
      <c r="H98" s="22">
        <v>2.6105059813218297E-5</v>
      </c>
      <c r="I98" s="25">
        <v>0</v>
      </c>
      <c r="J98" s="22">
        <v>0</v>
      </c>
      <c r="K98" s="25">
        <v>0</v>
      </c>
      <c r="L98" s="22">
        <v>2.459238128027937E-5</v>
      </c>
      <c r="M98" s="25">
        <v>0</v>
      </c>
      <c r="N98" s="19">
        <v>0</v>
      </c>
      <c r="O98" s="19">
        <v>3.1597074110937326E-5</v>
      </c>
      <c r="P98" s="16">
        <v>1.5519716506511813E-4</v>
      </c>
      <c r="Q98" s="19">
        <v>0</v>
      </c>
      <c r="R98" s="16">
        <v>0</v>
      </c>
      <c r="S98" s="25">
        <v>0</v>
      </c>
      <c r="T98" s="22">
        <v>1.2636473918317832E-5</v>
      </c>
      <c r="U98" s="25">
        <v>0</v>
      </c>
      <c r="V98" s="22">
        <v>2.5206218374072882E-5</v>
      </c>
      <c r="W98" s="25">
        <v>0</v>
      </c>
    </row>
    <row r="99" spans="1:23" x14ac:dyDescent="0.2">
      <c r="A99" s="6" t="s">
        <v>844</v>
      </c>
      <c r="B99" s="19">
        <v>7.6286424453963766E-3</v>
      </c>
      <c r="C99" s="16">
        <v>3.324007645217582E-3</v>
      </c>
      <c r="D99" s="19">
        <v>5.0879374666903555E-3</v>
      </c>
      <c r="E99" s="16">
        <v>8.4977753625649563E-3</v>
      </c>
      <c r="F99" s="19">
        <v>1.4991188385452828E-2</v>
      </c>
      <c r="G99" s="16">
        <v>1.6470365395874233E-2</v>
      </c>
      <c r="H99" s="22">
        <v>1.3607262427640033E-2</v>
      </c>
      <c r="I99" s="25">
        <v>8.2036884401401212E-3</v>
      </c>
      <c r="J99" s="22">
        <v>8.3388881482469018E-3</v>
      </c>
      <c r="K99" s="25">
        <v>3.3579988739644495E-3</v>
      </c>
      <c r="L99" s="22">
        <v>6.3386862749920054E-3</v>
      </c>
      <c r="M99" s="25">
        <v>5.9594280013302295E-3</v>
      </c>
      <c r="N99" s="19">
        <v>1.4122386043759677E-2</v>
      </c>
      <c r="O99" s="19">
        <v>2.0064142060445184E-2</v>
      </c>
      <c r="P99" s="16">
        <v>9.9455516612563261E-3</v>
      </c>
      <c r="Q99" s="19">
        <v>1.1102511409431795E-2</v>
      </c>
      <c r="R99" s="16">
        <v>7.8835744583612994E-3</v>
      </c>
      <c r="S99" s="25">
        <v>3.9480378960113863E-3</v>
      </c>
      <c r="T99" s="22">
        <v>6.3498281439547102E-3</v>
      </c>
      <c r="U99" s="25">
        <v>7.6075884899414305E-3</v>
      </c>
      <c r="V99" s="22">
        <v>6.3960779124209973E-3</v>
      </c>
      <c r="W99" s="25">
        <v>3.6925613022872443E-3</v>
      </c>
    </row>
    <row r="100" spans="1:23" x14ac:dyDescent="0.2">
      <c r="A100" s="6" t="s">
        <v>843</v>
      </c>
      <c r="B100" s="19">
        <v>0</v>
      </c>
      <c r="C100" s="16">
        <v>0</v>
      </c>
      <c r="D100" s="19">
        <v>0</v>
      </c>
      <c r="E100" s="16">
        <v>0</v>
      </c>
      <c r="F100" s="19">
        <v>0</v>
      </c>
      <c r="G100" s="16">
        <v>0</v>
      </c>
      <c r="H100" s="22">
        <v>0</v>
      </c>
      <c r="I100" s="25">
        <v>2.5757263548320626E-5</v>
      </c>
      <c r="J100" s="22">
        <v>0</v>
      </c>
      <c r="K100" s="25">
        <v>0</v>
      </c>
      <c r="L100" s="22">
        <v>0</v>
      </c>
      <c r="M100" s="25">
        <v>0</v>
      </c>
      <c r="N100" s="19">
        <v>0</v>
      </c>
      <c r="O100" s="19">
        <v>0</v>
      </c>
      <c r="P100" s="16">
        <v>0</v>
      </c>
      <c r="Q100" s="19">
        <v>0</v>
      </c>
      <c r="R100" s="16">
        <v>0</v>
      </c>
      <c r="S100" s="25">
        <v>0</v>
      </c>
      <c r="T100" s="22">
        <v>0</v>
      </c>
      <c r="U100" s="25">
        <v>0</v>
      </c>
      <c r="V100" s="22">
        <v>0</v>
      </c>
      <c r="W100" s="25">
        <v>0</v>
      </c>
    </row>
    <row r="101" spans="1:23" x14ac:dyDescent="0.2">
      <c r="A101" s="6" t="s">
        <v>842</v>
      </c>
      <c r="B101" s="19">
        <v>7.3113332275635953E-3</v>
      </c>
      <c r="C101" s="16">
        <v>6.4541148444641422E-3</v>
      </c>
      <c r="D101" s="19">
        <v>1.7551963048498846E-3</v>
      </c>
      <c r="E101" s="16">
        <v>3.0771320857249608E-3</v>
      </c>
      <c r="F101" s="19">
        <v>2.2658437407020301E-3</v>
      </c>
      <c r="G101" s="16">
        <v>3.0650549299170026E-3</v>
      </c>
      <c r="H101" s="22">
        <v>3.3610264509518549E-3</v>
      </c>
      <c r="I101" s="25">
        <v>3.5351844220070064E-3</v>
      </c>
      <c r="J101" s="22">
        <v>3.5595253966137852E-3</v>
      </c>
      <c r="K101" s="25">
        <v>2.9759510978846614E-3</v>
      </c>
      <c r="L101" s="22">
        <v>7.0395691414799682E-3</v>
      </c>
      <c r="M101" s="25">
        <v>5.0016627868307278E-3</v>
      </c>
      <c r="N101" s="19">
        <v>4.6317601286135204E-3</v>
      </c>
      <c r="O101" s="19">
        <v>2.4487732435976429E-3</v>
      </c>
      <c r="P101" s="16">
        <v>3.1168763983911228E-3</v>
      </c>
      <c r="Q101" s="19">
        <v>3.2293362513010752E-3</v>
      </c>
      <c r="R101" s="16">
        <v>3.2991045287707613E-3</v>
      </c>
      <c r="S101" s="25">
        <v>4.5276845691615093E-3</v>
      </c>
      <c r="T101" s="22">
        <v>3.9615345733926407E-3</v>
      </c>
      <c r="U101" s="25">
        <v>6.3025210084033624E-3</v>
      </c>
      <c r="V101" s="22">
        <v>2.7411762481804255E-3</v>
      </c>
      <c r="W101" s="25">
        <v>3.4617762208942917E-3</v>
      </c>
    </row>
    <row r="102" spans="1:23" x14ac:dyDescent="0.2">
      <c r="A102" s="6" t="s">
        <v>841</v>
      </c>
      <c r="B102" s="19">
        <v>0</v>
      </c>
      <c r="C102" s="16">
        <v>0</v>
      </c>
      <c r="D102" s="19">
        <v>0</v>
      </c>
      <c r="E102" s="16">
        <v>0</v>
      </c>
      <c r="F102" s="19">
        <v>0</v>
      </c>
      <c r="G102" s="16">
        <v>0</v>
      </c>
      <c r="H102" s="22">
        <v>2.6105059813218297E-5</v>
      </c>
      <c r="I102" s="25">
        <v>0</v>
      </c>
      <c r="J102" s="22">
        <v>0</v>
      </c>
      <c r="K102" s="25">
        <v>0</v>
      </c>
      <c r="L102" s="22">
        <v>0</v>
      </c>
      <c r="M102" s="25">
        <v>0</v>
      </c>
      <c r="N102" s="19">
        <v>0</v>
      </c>
      <c r="O102" s="19">
        <v>0</v>
      </c>
      <c r="P102" s="16">
        <v>0</v>
      </c>
      <c r="Q102" s="19">
        <v>0</v>
      </c>
      <c r="R102" s="16">
        <v>0</v>
      </c>
      <c r="S102" s="25">
        <v>0</v>
      </c>
      <c r="T102" s="22">
        <v>0</v>
      </c>
      <c r="U102" s="25">
        <v>0</v>
      </c>
      <c r="V102" s="22">
        <v>0</v>
      </c>
      <c r="W102" s="25">
        <v>0</v>
      </c>
    </row>
    <row r="103" spans="1:23" x14ac:dyDescent="0.2">
      <c r="A103" s="6" t="s">
        <v>840</v>
      </c>
      <c r="B103" s="19">
        <v>0</v>
      </c>
      <c r="C103" s="16">
        <v>0</v>
      </c>
      <c r="D103" s="19">
        <v>0</v>
      </c>
      <c r="E103" s="16">
        <v>0</v>
      </c>
      <c r="F103" s="19">
        <v>0</v>
      </c>
      <c r="G103" s="16">
        <v>0</v>
      </c>
      <c r="H103" s="22">
        <v>0</v>
      </c>
      <c r="I103" s="25">
        <v>0</v>
      </c>
      <c r="J103" s="22">
        <v>2.6663111585121983E-5</v>
      </c>
      <c r="K103" s="25">
        <v>0</v>
      </c>
      <c r="L103" s="22">
        <v>0</v>
      </c>
      <c r="M103" s="25">
        <v>0</v>
      </c>
      <c r="N103" s="19">
        <v>0</v>
      </c>
      <c r="O103" s="19">
        <v>0</v>
      </c>
      <c r="P103" s="16">
        <v>0</v>
      </c>
      <c r="Q103" s="19">
        <v>0</v>
      </c>
      <c r="R103" s="16">
        <v>0</v>
      </c>
      <c r="S103" s="25">
        <v>0</v>
      </c>
      <c r="T103" s="22">
        <v>0</v>
      </c>
      <c r="U103" s="25">
        <v>0</v>
      </c>
      <c r="V103" s="22">
        <v>0</v>
      </c>
      <c r="W103" s="25">
        <v>0</v>
      </c>
    </row>
    <row r="104" spans="1:23" x14ac:dyDescent="0.2">
      <c r="A104" s="6" t="s">
        <v>839</v>
      </c>
      <c r="B104" s="19">
        <v>0</v>
      </c>
      <c r="C104" s="16">
        <v>0</v>
      </c>
      <c r="D104" s="19">
        <v>0</v>
      </c>
      <c r="E104" s="16">
        <v>0</v>
      </c>
      <c r="F104" s="19">
        <v>0</v>
      </c>
      <c r="G104" s="16">
        <v>0</v>
      </c>
      <c r="H104" s="22">
        <v>0</v>
      </c>
      <c r="I104" s="25">
        <v>0</v>
      </c>
      <c r="J104" s="22">
        <v>0</v>
      </c>
      <c r="K104" s="25">
        <v>0</v>
      </c>
      <c r="L104" s="22">
        <v>0</v>
      </c>
      <c r="M104" s="25">
        <v>0</v>
      </c>
      <c r="N104" s="19">
        <v>0</v>
      </c>
      <c r="O104" s="19">
        <v>0</v>
      </c>
      <c r="P104" s="16">
        <v>0</v>
      </c>
      <c r="Q104" s="19">
        <v>0</v>
      </c>
      <c r="R104" s="16">
        <v>0</v>
      </c>
      <c r="S104" s="25">
        <v>0</v>
      </c>
      <c r="T104" s="22">
        <v>6.3182369591589164E-5</v>
      </c>
      <c r="U104" s="25">
        <v>0</v>
      </c>
      <c r="V104" s="22">
        <v>0</v>
      </c>
      <c r="W104" s="25">
        <v>0</v>
      </c>
    </row>
    <row r="105" spans="1:23" x14ac:dyDescent="0.2">
      <c r="A105" s="6" t="s">
        <v>838</v>
      </c>
      <c r="B105" s="19">
        <v>2.0823417420276057E-3</v>
      </c>
      <c r="C105" s="16">
        <v>9.4872718207251875E-4</v>
      </c>
      <c r="D105" s="19">
        <v>7.5395274471486947E-3</v>
      </c>
      <c r="E105" s="16">
        <v>1.6098902965051114E-3</v>
      </c>
      <c r="F105" s="19">
        <v>6.6220618415130028E-3</v>
      </c>
      <c r="G105" s="16">
        <v>2.1524262148293559E-3</v>
      </c>
      <c r="H105" s="22">
        <v>1.1668961736508578E-2</v>
      </c>
      <c r="I105" s="25">
        <v>5.4476612404698119E-3</v>
      </c>
      <c r="J105" s="22">
        <v>4.8660178642847621E-3</v>
      </c>
      <c r="K105" s="25">
        <v>6.6288640446124578E-3</v>
      </c>
      <c r="L105" s="22">
        <v>6.0681700809089353E-3</v>
      </c>
      <c r="M105" s="25">
        <v>6.1855670103092772E-3</v>
      </c>
      <c r="N105" s="19">
        <v>2.4443740549715217E-3</v>
      </c>
      <c r="O105" s="19">
        <v>4.4393889125866953E-3</v>
      </c>
      <c r="P105" s="16">
        <v>1.4161741312192027E-3</v>
      </c>
      <c r="Q105" s="19">
        <v>2.2418532653660354E-3</v>
      </c>
      <c r="R105" s="16">
        <v>1.8209343178280178E-3</v>
      </c>
      <c r="S105" s="25">
        <v>1.0852273825088389E-2</v>
      </c>
      <c r="T105" s="22">
        <v>7.0701071572988258E-3</v>
      </c>
      <c r="U105" s="25">
        <v>1.1942959001782534E-2</v>
      </c>
      <c r="V105" s="22">
        <v>5.513860269328443E-3</v>
      </c>
      <c r="W105" s="25">
        <v>8.1681434164434363E-3</v>
      </c>
    </row>
    <row r="106" spans="1:23" x14ac:dyDescent="0.2">
      <c r="A106" s="6" t="s">
        <v>837</v>
      </c>
      <c r="B106" s="19">
        <v>0</v>
      </c>
      <c r="C106" s="16">
        <v>0</v>
      </c>
      <c r="D106" s="19">
        <v>0</v>
      </c>
      <c r="E106" s="16">
        <v>0</v>
      </c>
      <c r="F106" s="19">
        <v>0</v>
      </c>
      <c r="G106" s="16">
        <v>0</v>
      </c>
      <c r="H106" s="22">
        <v>7.8315179439654892E-5</v>
      </c>
      <c r="I106" s="25">
        <v>0</v>
      </c>
      <c r="J106" s="22">
        <v>0</v>
      </c>
      <c r="K106" s="25">
        <v>0</v>
      </c>
      <c r="L106" s="22">
        <v>0</v>
      </c>
      <c r="M106" s="25">
        <v>0</v>
      </c>
      <c r="N106" s="19">
        <v>0</v>
      </c>
      <c r="O106" s="19">
        <v>0</v>
      </c>
      <c r="P106" s="16">
        <v>0</v>
      </c>
      <c r="Q106" s="19">
        <v>0</v>
      </c>
      <c r="R106" s="16">
        <v>0</v>
      </c>
      <c r="S106" s="25">
        <v>0</v>
      </c>
      <c r="T106" s="22">
        <v>5.6864132632430242E-5</v>
      </c>
      <c r="U106" s="25">
        <v>0</v>
      </c>
      <c r="V106" s="22">
        <v>0</v>
      </c>
      <c r="W106" s="25">
        <v>0</v>
      </c>
    </row>
    <row r="107" spans="1:23" x14ac:dyDescent="0.2">
      <c r="A107" s="6" t="s">
        <v>836</v>
      </c>
      <c r="B107" s="19">
        <v>6.2007509651488702E-3</v>
      </c>
      <c r="C107" s="16">
        <v>9.5011218525802629E-3</v>
      </c>
      <c r="D107" s="19">
        <v>9.0246935512524433E-3</v>
      </c>
      <c r="E107" s="16">
        <v>3.702068403355636E-3</v>
      </c>
      <c r="F107" s="19">
        <v>6.0422499752054142E-3</v>
      </c>
      <c r="G107" s="16">
        <v>3.4783207631642393E-3</v>
      </c>
      <c r="H107" s="22">
        <v>1.5401985289798794E-3</v>
      </c>
      <c r="I107" s="25">
        <v>4.0052544817638569E-3</v>
      </c>
      <c r="J107" s="22">
        <v>1.9264098120250635E-3</v>
      </c>
      <c r="K107" s="25">
        <v>7.9090592241078843E-4</v>
      </c>
      <c r="L107" s="22">
        <v>1.8044659764404988E-2</v>
      </c>
      <c r="M107" s="25">
        <v>2.3059527768540072E-2</v>
      </c>
      <c r="N107" s="19">
        <v>5.9286529646253054E-3</v>
      </c>
      <c r="O107" s="19">
        <v>1.074300519771869E-3</v>
      </c>
      <c r="P107" s="16">
        <v>7.6951927678121077E-4</v>
      </c>
      <c r="Q107" s="19">
        <v>1.1476153620326136E-3</v>
      </c>
      <c r="R107" s="16">
        <v>1.3067881575001068E-3</v>
      </c>
      <c r="S107" s="25">
        <v>8.1794586100072779E-4</v>
      </c>
      <c r="T107" s="22">
        <v>6.9247877072381734E-3</v>
      </c>
      <c r="U107" s="25">
        <v>4.0743570155334858E-3</v>
      </c>
      <c r="V107" s="22">
        <v>5.3248136315228968E-3</v>
      </c>
      <c r="W107" s="25">
        <v>1.9864001648464869E-3</v>
      </c>
    </row>
    <row r="108" spans="1:23" x14ac:dyDescent="0.2">
      <c r="A108" s="6" t="s">
        <v>835</v>
      </c>
      <c r="B108" s="19">
        <v>9.2548521867893594E-5</v>
      </c>
      <c r="C108" s="16">
        <v>0</v>
      </c>
      <c r="D108" s="19">
        <v>0</v>
      </c>
      <c r="E108" s="16">
        <v>0</v>
      </c>
      <c r="F108" s="19">
        <v>0</v>
      </c>
      <c r="G108" s="16">
        <v>0</v>
      </c>
      <c r="H108" s="22">
        <v>5.2210119626436595E-5</v>
      </c>
      <c r="I108" s="25">
        <v>0</v>
      </c>
      <c r="J108" s="22">
        <v>0</v>
      </c>
      <c r="K108" s="25">
        <v>0</v>
      </c>
      <c r="L108" s="22">
        <v>0</v>
      </c>
      <c r="M108" s="25">
        <v>0</v>
      </c>
      <c r="N108" s="19">
        <v>1.1952929364163923E-4</v>
      </c>
      <c r="O108" s="19">
        <v>0</v>
      </c>
      <c r="P108" s="16">
        <v>5.1732388355039383E-5</v>
      </c>
      <c r="Q108" s="19">
        <v>5.3377458699191329E-5</v>
      </c>
      <c r="R108" s="16">
        <v>0</v>
      </c>
      <c r="S108" s="25">
        <v>0</v>
      </c>
      <c r="T108" s="22">
        <v>5.6864132632430249E-5</v>
      </c>
      <c r="U108" s="25">
        <v>0</v>
      </c>
      <c r="V108" s="22">
        <v>2.5206218374072882E-5</v>
      </c>
      <c r="W108" s="25">
        <v>0</v>
      </c>
    </row>
    <row r="109" spans="1:23" x14ac:dyDescent="0.2">
      <c r="A109" s="6" t="s">
        <v>834</v>
      </c>
      <c r="B109" s="19">
        <v>0</v>
      </c>
      <c r="C109" s="16">
        <v>0</v>
      </c>
      <c r="D109" s="19">
        <v>0</v>
      </c>
      <c r="E109" s="16">
        <v>0</v>
      </c>
      <c r="F109" s="19">
        <v>0</v>
      </c>
      <c r="G109" s="16">
        <v>0</v>
      </c>
      <c r="H109" s="22">
        <v>7.1788914486350318E-5</v>
      </c>
      <c r="I109" s="25">
        <v>0</v>
      </c>
      <c r="J109" s="22">
        <v>0</v>
      </c>
      <c r="K109" s="25">
        <v>0</v>
      </c>
      <c r="L109" s="22">
        <v>0</v>
      </c>
      <c r="M109" s="25">
        <v>0</v>
      </c>
      <c r="N109" s="19">
        <v>0</v>
      </c>
      <c r="O109" s="19">
        <v>0</v>
      </c>
      <c r="P109" s="16">
        <v>0</v>
      </c>
      <c r="Q109" s="19">
        <v>0</v>
      </c>
      <c r="R109" s="16">
        <v>0</v>
      </c>
      <c r="S109" s="25">
        <v>0</v>
      </c>
      <c r="T109" s="22">
        <v>0</v>
      </c>
      <c r="U109" s="25">
        <v>0</v>
      </c>
      <c r="V109" s="22">
        <v>0</v>
      </c>
      <c r="W109" s="25">
        <v>0</v>
      </c>
    </row>
    <row r="110" spans="1:23" x14ac:dyDescent="0.2">
      <c r="A110" s="6" t="s">
        <v>833</v>
      </c>
      <c r="B110" s="19">
        <v>0</v>
      </c>
      <c r="C110" s="16">
        <v>0</v>
      </c>
      <c r="D110" s="19">
        <v>1.4212115828744005E-5</v>
      </c>
      <c r="E110" s="16">
        <v>2.0378358183609007E-5</v>
      </c>
      <c r="F110" s="19">
        <v>0</v>
      </c>
      <c r="G110" s="16">
        <v>0</v>
      </c>
      <c r="H110" s="22">
        <v>8.4841444392959466E-5</v>
      </c>
      <c r="I110" s="25">
        <v>0</v>
      </c>
      <c r="J110" s="22">
        <v>0</v>
      </c>
      <c r="K110" s="25">
        <v>0</v>
      </c>
      <c r="L110" s="22">
        <v>1.2296190640139685E-5</v>
      </c>
      <c r="M110" s="25">
        <v>0</v>
      </c>
      <c r="N110" s="19">
        <v>0</v>
      </c>
      <c r="O110" s="19">
        <v>0</v>
      </c>
      <c r="P110" s="16">
        <v>3.2332742721899616E-5</v>
      </c>
      <c r="Q110" s="19">
        <v>0</v>
      </c>
      <c r="R110" s="16">
        <v>3.5704594467216042E-5</v>
      </c>
      <c r="S110" s="25">
        <v>0</v>
      </c>
      <c r="T110" s="22">
        <v>3.7909421754953497E-5</v>
      </c>
      <c r="U110" s="25">
        <v>1.9098548510313215E-5</v>
      </c>
      <c r="V110" s="22">
        <v>0</v>
      </c>
      <c r="W110" s="25">
        <v>7.4180919019163407E-5</v>
      </c>
    </row>
    <row r="111" spans="1:23" x14ac:dyDescent="0.2">
      <c r="A111" s="6" t="s">
        <v>832</v>
      </c>
      <c r="B111" s="19">
        <v>0</v>
      </c>
      <c r="C111" s="16">
        <v>0</v>
      </c>
      <c r="D111" s="19">
        <v>1.7765144785930004E-4</v>
      </c>
      <c r="E111" s="16">
        <v>5.4342288489624017E-5</v>
      </c>
      <c r="F111" s="19">
        <v>2.3650220862546443E-4</v>
      </c>
      <c r="G111" s="16">
        <v>0</v>
      </c>
      <c r="H111" s="22">
        <v>0</v>
      </c>
      <c r="I111" s="25">
        <v>0</v>
      </c>
      <c r="J111" s="22">
        <v>0</v>
      </c>
      <c r="K111" s="25">
        <v>0</v>
      </c>
      <c r="L111" s="22">
        <v>0</v>
      </c>
      <c r="M111" s="25">
        <v>0</v>
      </c>
      <c r="N111" s="19">
        <v>0</v>
      </c>
      <c r="O111" s="19">
        <v>0</v>
      </c>
      <c r="P111" s="16">
        <v>0</v>
      </c>
      <c r="Q111" s="19">
        <v>0</v>
      </c>
      <c r="R111" s="16">
        <v>0</v>
      </c>
      <c r="S111" s="25">
        <v>0</v>
      </c>
      <c r="T111" s="22">
        <v>0</v>
      </c>
      <c r="U111" s="25">
        <v>0</v>
      </c>
      <c r="V111" s="22">
        <v>0</v>
      </c>
      <c r="W111" s="25">
        <v>0</v>
      </c>
    </row>
    <row r="112" spans="1:23" x14ac:dyDescent="0.2">
      <c r="A112" s="6" t="s">
        <v>831</v>
      </c>
      <c r="B112" s="19">
        <v>0</v>
      </c>
      <c r="C112" s="16">
        <v>0</v>
      </c>
      <c r="D112" s="19">
        <v>0</v>
      </c>
      <c r="E112" s="16">
        <v>0</v>
      </c>
      <c r="F112" s="19">
        <v>0</v>
      </c>
      <c r="G112" s="16">
        <v>0</v>
      </c>
      <c r="H112" s="22">
        <v>0</v>
      </c>
      <c r="I112" s="25">
        <v>0</v>
      </c>
      <c r="J112" s="22">
        <v>0</v>
      </c>
      <c r="K112" s="25">
        <v>0</v>
      </c>
      <c r="L112" s="22">
        <v>0</v>
      </c>
      <c r="M112" s="25">
        <v>0</v>
      </c>
      <c r="N112" s="19">
        <v>0</v>
      </c>
      <c r="O112" s="19">
        <v>4.7395611166405993E-5</v>
      </c>
      <c r="P112" s="16">
        <v>0</v>
      </c>
      <c r="Q112" s="19">
        <v>0</v>
      </c>
      <c r="R112" s="16">
        <v>0</v>
      </c>
      <c r="S112" s="25">
        <v>0</v>
      </c>
      <c r="T112" s="22">
        <v>0</v>
      </c>
      <c r="U112" s="25">
        <v>0</v>
      </c>
      <c r="V112" s="22">
        <v>0</v>
      </c>
      <c r="W112" s="25">
        <v>0</v>
      </c>
    </row>
    <row r="113" spans="1:23" x14ac:dyDescent="0.2">
      <c r="A113" s="6" t="s">
        <v>830</v>
      </c>
      <c r="B113" s="19">
        <v>0</v>
      </c>
      <c r="C113" s="16">
        <v>0</v>
      </c>
      <c r="D113" s="19">
        <v>0</v>
      </c>
      <c r="E113" s="16">
        <v>6.792786061203002E-5</v>
      </c>
      <c r="F113" s="19">
        <v>1.525820700809448E-4</v>
      </c>
      <c r="G113" s="16">
        <v>5.1658229155904537E-5</v>
      </c>
      <c r="H113" s="22">
        <v>1.5663035887930978E-4</v>
      </c>
      <c r="I113" s="25">
        <v>1.931794766124047E-5</v>
      </c>
      <c r="J113" s="22">
        <v>1.3331555792560992E-5</v>
      </c>
      <c r="K113" s="25">
        <v>0</v>
      </c>
      <c r="L113" s="22">
        <v>0</v>
      </c>
      <c r="M113" s="25">
        <v>2.660458929165281E-5</v>
      </c>
      <c r="N113" s="19">
        <v>0</v>
      </c>
      <c r="O113" s="19">
        <v>0</v>
      </c>
      <c r="P113" s="16">
        <v>0</v>
      </c>
      <c r="Q113" s="19">
        <v>0</v>
      </c>
      <c r="R113" s="16">
        <v>0</v>
      </c>
      <c r="S113" s="25">
        <v>0</v>
      </c>
      <c r="T113" s="22">
        <v>0</v>
      </c>
      <c r="U113" s="25">
        <v>1.9098548510313215E-5</v>
      </c>
      <c r="V113" s="22">
        <v>0</v>
      </c>
      <c r="W113" s="25">
        <v>0</v>
      </c>
    </row>
    <row r="114" spans="1:23" x14ac:dyDescent="0.2">
      <c r="A114" s="6" t="s">
        <v>829</v>
      </c>
      <c r="B114" s="19">
        <v>0</v>
      </c>
      <c r="C114" s="16">
        <v>0</v>
      </c>
      <c r="D114" s="19">
        <v>0</v>
      </c>
      <c r="E114" s="16">
        <v>0</v>
      </c>
      <c r="F114" s="19">
        <v>9.1549242048566873E-5</v>
      </c>
      <c r="G114" s="16">
        <v>7.7487343733856806E-5</v>
      </c>
      <c r="H114" s="22">
        <v>3.2631324766522872E-5</v>
      </c>
      <c r="I114" s="25">
        <v>6.439315887080157E-5</v>
      </c>
      <c r="J114" s="22">
        <v>0</v>
      </c>
      <c r="K114" s="25">
        <v>0</v>
      </c>
      <c r="L114" s="22">
        <v>0</v>
      </c>
      <c r="M114" s="25">
        <v>4.6558031260392418E-5</v>
      </c>
      <c r="N114" s="19">
        <v>0</v>
      </c>
      <c r="O114" s="19">
        <v>0</v>
      </c>
      <c r="P114" s="16">
        <v>0</v>
      </c>
      <c r="Q114" s="19">
        <v>0</v>
      </c>
      <c r="R114" s="16">
        <v>0</v>
      </c>
      <c r="S114" s="25">
        <v>3.2202592952784557E-5</v>
      </c>
      <c r="T114" s="22">
        <v>3.7909421754953497E-5</v>
      </c>
      <c r="U114" s="25">
        <v>3.1830914183855358E-5</v>
      </c>
      <c r="V114" s="22">
        <v>0</v>
      </c>
      <c r="W114" s="25">
        <v>0</v>
      </c>
    </row>
    <row r="115" spans="1:23" x14ac:dyDescent="0.2">
      <c r="A115" s="6" t="s">
        <v>828</v>
      </c>
      <c r="B115" s="19">
        <v>0</v>
      </c>
      <c r="C115" s="16">
        <v>0</v>
      </c>
      <c r="D115" s="19">
        <v>0</v>
      </c>
      <c r="E115" s="16">
        <v>0</v>
      </c>
      <c r="F115" s="19">
        <v>0</v>
      </c>
      <c r="G115" s="16">
        <v>0</v>
      </c>
      <c r="H115" s="22">
        <v>0</v>
      </c>
      <c r="I115" s="25">
        <v>1.931794766124047E-5</v>
      </c>
      <c r="J115" s="22">
        <v>0</v>
      </c>
      <c r="K115" s="25">
        <v>0</v>
      </c>
      <c r="L115" s="22">
        <v>0</v>
      </c>
      <c r="M115" s="25">
        <v>0</v>
      </c>
      <c r="N115" s="19">
        <v>0</v>
      </c>
      <c r="O115" s="19">
        <v>0</v>
      </c>
      <c r="P115" s="16">
        <v>0</v>
      </c>
      <c r="Q115" s="19">
        <v>0</v>
      </c>
      <c r="R115" s="16">
        <v>0</v>
      </c>
      <c r="S115" s="25">
        <v>0</v>
      </c>
      <c r="T115" s="22">
        <v>0</v>
      </c>
      <c r="U115" s="25">
        <v>0</v>
      </c>
      <c r="V115" s="22">
        <v>0</v>
      </c>
      <c r="W115" s="25">
        <v>0</v>
      </c>
    </row>
    <row r="116" spans="1:23" x14ac:dyDescent="0.2">
      <c r="A116" s="6" t="s">
        <v>827</v>
      </c>
      <c r="B116" s="19">
        <v>0</v>
      </c>
      <c r="C116" s="16">
        <v>0</v>
      </c>
      <c r="D116" s="19">
        <v>0</v>
      </c>
      <c r="E116" s="16">
        <v>0</v>
      </c>
      <c r="F116" s="19">
        <v>0</v>
      </c>
      <c r="G116" s="16">
        <v>0</v>
      </c>
      <c r="H116" s="22">
        <v>0</v>
      </c>
      <c r="I116" s="25">
        <v>0</v>
      </c>
      <c r="J116" s="22">
        <v>0</v>
      </c>
      <c r="K116" s="25">
        <v>0</v>
      </c>
      <c r="L116" s="22">
        <v>0</v>
      </c>
      <c r="M116" s="25">
        <v>0</v>
      </c>
      <c r="N116" s="19">
        <v>0</v>
      </c>
      <c r="O116" s="19">
        <v>0</v>
      </c>
      <c r="P116" s="16">
        <v>0</v>
      </c>
      <c r="Q116" s="19">
        <v>0</v>
      </c>
      <c r="R116" s="16">
        <v>0</v>
      </c>
      <c r="S116" s="25">
        <v>0</v>
      </c>
      <c r="T116" s="22">
        <v>0</v>
      </c>
      <c r="U116" s="25">
        <v>0</v>
      </c>
      <c r="V116" s="22">
        <v>2.5206218374072882E-5</v>
      </c>
      <c r="W116" s="25">
        <v>0</v>
      </c>
    </row>
    <row r="117" spans="1:23" x14ac:dyDescent="0.2">
      <c r="A117" s="6" t="s">
        <v>826</v>
      </c>
      <c r="B117" s="19">
        <v>0</v>
      </c>
      <c r="C117" s="16">
        <v>0</v>
      </c>
      <c r="D117" s="19">
        <v>0</v>
      </c>
      <c r="E117" s="16">
        <v>0</v>
      </c>
      <c r="F117" s="19">
        <v>0</v>
      </c>
      <c r="G117" s="16">
        <v>0</v>
      </c>
      <c r="H117" s="22">
        <v>0</v>
      </c>
      <c r="I117" s="25">
        <v>0</v>
      </c>
      <c r="J117" s="22">
        <v>0</v>
      </c>
      <c r="K117" s="25">
        <v>0</v>
      </c>
      <c r="L117" s="22">
        <v>0</v>
      </c>
      <c r="M117" s="25">
        <v>0</v>
      </c>
      <c r="N117" s="19">
        <v>0</v>
      </c>
      <c r="O117" s="19">
        <v>0</v>
      </c>
      <c r="P117" s="16">
        <v>2.5866194177519691E-5</v>
      </c>
      <c r="Q117" s="19">
        <v>0</v>
      </c>
      <c r="R117" s="16">
        <v>0</v>
      </c>
      <c r="S117" s="25">
        <v>0</v>
      </c>
      <c r="T117" s="22">
        <v>0</v>
      </c>
      <c r="U117" s="25">
        <v>0</v>
      </c>
      <c r="V117" s="22">
        <v>0</v>
      </c>
      <c r="W117" s="25">
        <v>0</v>
      </c>
    </row>
    <row r="118" spans="1:23" x14ac:dyDescent="0.2">
      <c r="A118" s="6" t="s">
        <v>825</v>
      </c>
      <c r="B118" s="19">
        <v>0</v>
      </c>
      <c r="C118" s="16">
        <v>0</v>
      </c>
      <c r="D118" s="19">
        <v>0</v>
      </c>
      <c r="E118" s="16">
        <v>0</v>
      </c>
      <c r="F118" s="19">
        <v>0</v>
      </c>
      <c r="G118" s="16">
        <v>0</v>
      </c>
      <c r="H118" s="22">
        <v>0</v>
      </c>
      <c r="I118" s="25">
        <v>0</v>
      </c>
      <c r="J118" s="22">
        <v>0</v>
      </c>
      <c r="K118" s="25">
        <v>0</v>
      </c>
      <c r="L118" s="22">
        <v>0</v>
      </c>
      <c r="M118" s="25">
        <v>0</v>
      </c>
      <c r="N118" s="19">
        <v>0</v>
      </c>
      <c r="O118" s="19">
        <v>5.5294879694140323E-5</v>
      </c>
      <c r="P118" s="16">
        <v>0</v>
      </c>
      <c r="Q118" s="19">
        <v>0</v>
      </c>
      <c r="R118" s="16">
        <v>0</v>
      </c>
      <c r="S118" s="25">
        <v>0</v>
      </c>
      <c r="T118" s="22">
        <v>0</v>
      </c>
      <c r="U118" s="25">
        <v>0</v>
      </c>
      <c r="V118" s="22">
        <v>0</v>
      </c>
      <c r="W118" s="25">
        <v>0</v>
      </c>
    </row>
    <row r="119" spans="1:23" x14ac:dyDescent="0.2">
      <c r="A119" s="6" t="s">
        <v>824</v>
      </c>
      <c r="B119" s="19">
        <v>0</v>
      </c>
      <c r="C119" s="16">
        <v>0</v>
      </c>
      <c r="D119" s="19">
        <v>0</v>
      </c>
      <c r="E119" s="16">
        <v>0</v>
      </c>
      <c r="F119" s="19">
        <v>0</v>
      </c>
      <c r="G119" s="16">
        <v>0</v>
      </c>
      <c r="H119" s="22">
        <v>1.3966207000071789E-3</v>
      </c>
      <c r="I119" s="25">
        <v>1.7579332371728828E-3</v>
      </c>
      <c r="J119" s="22">
        <v>5.9992001066524461E-4</v>
      </c>
      <c r="K119" s="25">
        <v>9.2495777366685434E-4</v>
      </c>
      <c r="L119" s="22">
        <v>2.8281238472321278E-4</v>
      </c>
      <c r="M119" s="25">
        <v>5.3209178583305623E-4</v>
      </c>
      <c r="N119" s="19">
        <v>5.1397596265904868E-4</v>
      </c>
      <c r="O119" s="19">
        <v>0</v>
      </c>
      <c r="P119" s="16">
        <v>1.2286442234321854E-4</v>
      </c>
      <c r="Q119" s="19">
        <v>0</v>
      </c>
      <c r="R119" s="16">
        <v>1.3567745897542097E-4</v>
      </c>
      <c r="S119" s="25">
        <v>3.9931215261452852E-4</v>
      </c>
      <c r="T119" s="22">
        <v>9.0982612211888388E-4</v>
      </c>
      <c r="U119" s="25">
        <v>1.1459129106187928E-3</v>
      </c>
      <c r="V119" s="22">
        <v>6.6166323231941322E-4</v>
      </c>
      <c r="W119" s="25">
        <v>7.170822171852462E-4</v>
      </c>
    </row>
    <row r="120" spans="1:23" x14ac:dyDescent="0.2">
      <c r="A120" s="6" t="s">
        <v>823</v>
      </c>
      <c r="B120" s="19">
        <v>0</v>
      </c>
      <c r="C120" s="16">
        <v>0</v>
      </c>
      <c r="D120" s="19">
        <v>0</v>
      </c>
      <c r="E120" s="16">
        <v>0</v>
      </c>
      <c r="F120" s="19">
        <v>0</v>
      </c>
      <c r="G120" s="16">
        <v>0</v>
      </c>
      <c r="H120" s="22">
        <v>0</v>
      </c>
      <c r="I120" s="25">
        <v>0</v>
      </c>
      <c r="J120" s="22">
        <v>0</v>
      </c>
      <c r="K120" s="25">
        <v>0</v>
      </c>
      <c r="L120" s="22">
        <v>0</v>
      </c>
      <c r="M120" s="25">
        <v>0</v>
      </c>
      <c r="N120" s="19">
        <v>0</v>
      </c>
      <c r="O120" s="19">
        <v>0</v>
      </c>
      <c r="P120" s="16">
        <v>0</v>
      </c>
      <c r="Q120" s="19">
        <v>0</v>
      </c>
      <c r="R120" s="16">
        <v>0</v>
      </c>
      <c r="S120" s="25">
        <v>0</v>
      </c>
      <c r="T120" s="22">
        <v>0</v>
      </c>
      <c r="U120" s="25">
        <v>0</v>
      </c>
      <c r="V120" s="22">
        <v>0</v>
      </c>
      <c r="W120" s="25">
        <v>2.4726973006387802E-5</v>
      </c>
    </row>
    <row r="121" spans="1:23" x14ac:dyDescent="0.2">
      <c r="A121" s="6" t="s">
        <v>822</v>
      </c>
      <c r="B121" s="19">
        <v>5.9495478343645881E-5</v>
      </c>
      <c r="C121" s="16">
        <v>0</v>
      </c>
      <c r="D121" s="19">
        <v>6.3954521229348018E-5</v>
      </c>
      <c r="E121" s="16">
        <v>1.1547736304045105E-4</v>
      </c>
      <c r="F121" s="19">
        <v>9.1549242048566873E-5</v>
      </c>
      <c r="G121" s="16">
        <v>2.5829114577952269E-4</v>
      </c>
      <c r="H121" s="22">
        <v>2.3494553831896468E-4</v>
      </c>
      <c r="I121" s="25">
        <v>3.8635895322480941E-5</v>
      </c>
      <c r="J121" s="22">
        <v>5.9992001066524464E-5</v>
      </c>
      <c r="K121" s="25">
        <v>0</v>
      </c>
      <c r="L121" s="22">
        <v>6.1480953200698427E-5</v>
      </c>
      <c r="M121" s="25">
        <v>0</v>
      </c>
      <c r="N121" s="19">
        <v>1.4941161705204903E-4</v>
      </c>
      <c r="O121" s="19">
        <v>0</v>
      </c>
      <c r="P121" s="16">
        <v>0</v>
      </c>
      <c r="Q121" s="19">
        <v>0</v>
      </c>
      <c r="R121" s="16">
        <v>0</v>
      </c>
      <c r="S121" s="25">
        <v>1.9321555771670734E-5</v>
      </c>
      <c r="T121" s="22">
        <v>0</v>
      </c>
      <c r="U121" s="25">
        <v>0</v>
      </c>
      <c r="V121" s="22">
        <v>3.1507772967591106E-5</v>
      </c>
      <c r="W121" s="25">
        <v>3.2969297341850403E-5</v>
      </c>
    </row>
    <row r="122" spans="1:23" x14ac:dyDescent="0.2">
      <c r="A122" s="6" t="s">
        <v>821</v>
      </c>
      <c r="B122" s="19">
        <v>4.8257443545401664E-4</v>
      </c>
      <c r="C122" s="16">
        <v>4.2935098750727121E-4</v>
      </c>
      <c r="D122" s="19">
        <v>4.6899982234855216E-4</v>
      </c>
      <c r="E122" s="16">
        <v>7.0644975036511222E-4</v>
      </c>
      <c r="F122" s="19">
        <v>6.1032828032377915E-5</v>
      </c>
      <c r="G122" s="16">
        <v>9.5567723938423394E-4</v>
      </c>
      <c r="H122" s="22">
        <v>9.4630841822916352E-4</v>
      </c>
      <c r="I122" s="25">
        <v>4.7007005975685149E-4</v>
      </c>
      <c r="J122" s="22">
        <v>1.7397680309292095E-3</v>
      </c>
      <c r="K122" s="25">
        <v>1.3941392530630846E-3</v>
      </c>
      <c r="L122" s="22">
        <v>7.8695620096893985E-4</v>
      </c>
      <c r="M122" s="25">
        <v>7.3827735284336549E-4</v>
      </c>
      <c r="N122" s="19">
        <v>8.6061091421980244E-4</v>
      </c>
      <c r="O122" s="19">
        <v>2.8358374014566252E-3</v>
      </c>
      <c r="P122" s="16">
        <v>4.5265839810659461E-4</v>
      </c>
      <c r="Q122" s="19">
        <v>9.4744989191064609E-4</v>
      </c>
      <c r="R122" s="16">
        <v>9.7116496950827602E-4</v>
      </c>
      <c r="S122" s="25">
        <v>1.7067374264975821E-3</v>
      </c>
      <c r="T122" s="22">
        <v>6.5077840679336849E-4</v>
      </c>
      <c r="U122" s="25">
        <v>2.3045581869111285E-3</v>
      </c>
      <c r="V122" s="22">
        <v>2.174036334763786E-3</v>
      </c>
      <c r="W122" s="25">
        <v>1.5660416237378945E-3</v>
      </c>
    </row>
    <row r="123" spans="1:23" x14ac:dyDescent="0.2">
      <c r="A123" s="6" t="s">
        <v>820</v>
      </c>
      <c r="B123" s="19">
        <v>6.6767147918980383E-4</v>
      </c>
      <c r="C123" s="16">
        <v>2.6315060524639209E-4</v>
      </c>
      <c r="D123" s="19">
        <v>3.6454077100728376E-3</v>
      </c>
      <c r="E123" s="16">
        <v>2.730699996603607E-3</v>
      </c>
      <c r="F123" s="19">
        <v>1.46478787277707E-3</v>
      </c>
      <c r="G123" s="16">
        <v>9.8150635396218621E-4</v>
      </c>
      <c r="H123" s="22">
        <v>7.870675533685317E-3</v>
      </c>
      <c r="I123" s="25">
        <v>5.280239027405728E-4</v>
      </c>
      <c r="J123" s="22">
        <v>1.8864151446473802E-3</v>
      </c>
      <c r="K123" s="25">
        <v>4.3566851658221397E-4</v>
      </c>
      <c r="L123" s="22">
        <v>2.4039052701473086E-3</v>
      </c>
      <c r="M123" s="25">
        <v>2.0419022281343534E-3</v>
      </c>
      <c r="N123" s="19">
        <v>3.807008002486208E-3</v>
      </c>
      <c r="O123" s="19">
        <v>4.0286269491445099E-3</v>
      </c>
      <c r="P123" s="16">
        <v>1.5649047477399409E-3</v>
      </c>
      <c r="Q123" s="19">
        <v>1.0675491739838266E-3</v>
      </c>
      <c r="R123" s="16">
        <v>9.2831945614761712E-4</v>
      </c>
      <c r="S123" s="25">
        <v>1.5264029059619884E-3</v>
      </c>
      <c r="T123" s="22">
        <v>3.8478063081277807E-3</v>
      </c>
      <c r="U123" s="25">
        <v>9.8039215686274487E-4</v>
      </c>
      <c r="V123" s="22">
        <v>9.7674096199532436E-4</v>
      </c>
      <c r="W123" s="25">
        <v>5.8520502781784459E-4</v>
      </c>
    </row>
    <row r="124" spans="1:23" x14ac:dyDescent="0.2">
      <c r="A124" s="6" t="s">
        <v>819</v>
      </c>
      <c r="B124" s="19">
        <v>1.3882278280184039E-4</v>
      </c>
      <c r="C124" s="16">
        <v>0</v>
      </c>
      <c r="D124" s="19">
        <v>2.1318173743116006E-4</v>
      </c>
      <c r="E124" s="16">
        <v>2.7171144244812009E-5</v>
      </c>
      <c r="F124" s="19">
        <v>3.2042234716998406E-4</v>
      </c>
      <c r="G124" s="16">
        <v>3.4438819437269692E-5</v>
      </c>
      <c r="H124" s="22">
        <v>1.6315662383261436E-4</v>
      </c>
      <c r="I124" s="25">
        <v>0</v>
      </c>
      <c r="J124" s="22">
        <v>2.6663111585121983E-5</v>
      </c>
      <c r="K124" s="25">
        <v>0</v>
      </c>
      <c r="L124" s="22">
        <v>2.8281238472321278E-4</v>
      </c>
      <c r="M124" s="25">
        <v>0</v>
      </c>
      <c r="N124" s="19">
        <v>4.0042313369949138E-4</v>
      </c>
      <c r="O124" s="19">
        <v>9.0841588068944811E-4</v>
      </c>
      <c r="P124" s="16">
        <v>1.9399645633139767E-5</v>
      </c>
      <c r="Q124" s="19">
        <v>1.0675491739838266E-4</v>
      </c>
      <c r="R124" s="16">
        <v>0</v>
      </c>
      <c r="S124" s="25">
        <v>0</v>
      </c>
      <c r="T124" s="22">
        <v>6.128689850384149E-4</v>
      </c>
      <c r="U124" s="25">
        <v>5.7295645530939649E-5</v>
      </c>
      <c r="V124" s="22">
        <v>0</v>
      </c>
      <c r="W124" s="25">
        <v>0</v>
      </c>
    </row>
    <row r="125" spans="1:23" x14ac:dyDescent="0.2">
      <c r="A125" s="6" t="s">
        <v>818</v>
      </c>
      <c r="B125" s="19">
        <v>2.6442434819398171E-5</v>
      </c>
      <c r="C125" s="16">
        <v>0</v>
      </c>
      <c r="D125" s="19">
        <v>0</v>
      </c>
      <c r="E125" s="16">
        <v>0</v>
      </c>
      <c r="F125" s="19">
        <v>2.4413131212951166E-4</v>
      </c>
      <c r="G125" s="16">
        <v>8.6097048593174229E-5</v>
      </c>
      <c r="H125" s="22">
        <v>1.8273541869252808E-4</v>
      </c>
      <c r="I125" s="25">
        <v>4.5075211209561096E-5</v>
      </c>
      <c r="J125" s="22">
        <v>0</v>
      </c>
      <c r="K125" s="25">
        <v>0</v>
      </c>
      <c r="L125" s="22">
        <v>3.0740476600349214E-5</v>
      </c>
      <c r="M125" s="25">
        <v>2.460924509477885E-4</v>
      </c>
      <c r="N125" s="19">
        <v>1.2550575832372119E-4</v>
      </c>
      <c r="O125" s="19">
        <v>0</v>
      </c>
      <c r="P125" s="16">
        <v>0</v>
      </c>
      <c r="Q125" s="19">
        <v>1.8682110544716965E-4</v>
      </c>
      <c r="R125" s="16">
        <v>0</v>
      </c>
      <c r="S125" s="25">
        <v>0</v>
      </c>
      <c r="T125" s="22">
        <v>5.0545895673271327E-5</v>
      </c>
      <c r="U125" s="25">
        <v>3.819709702062643E-5</v>
      </c>
      <c r="V125" s="22">
        <v>0</v>
      </c>
      <c r="W125" s="25">
        <v>0</v>
      </c>
    </row>
    <row r="126" spans="1:23" x14ac:dyDescent="0.2">
      <c r="A126" s="6" t="s">
        <v>817</v>
      </c>
      <c r="B126" s="19">
        <v>0</v>
      </c>
      <c r="C126" s="16">
        <v>0</v>
      </c>
      <c r="D126" s="19">
        <v>0</v>
      </c>
      <c r="E126" s="16">
        <v>0</v>
      </c>
      <c r="F126" s="19">
        <v>0</v>
      </c>
      <c r="G126" s="16">
        <v>0</v>
      </c>
      <c r="H126" s="22">
        <v>2.6105059813218297E-5</v>
      </c>
      <c r="I126" s="25">
        <v>0</v>
      </c>
      <c r="J126" s="22">
        <v>0</v>
      </c>
      <c r="K126" s="25">
        <v>0</v>
      </c>
      <c r="L126" s="22">
        <v>0</v>
      </c>
      <c r="M126" s="25">
        <v>0</v>
      </c>
      <c r="N126" s="19">
        <v>0</v>
      </c>
      <c r="O126" s="19">
        <v>0</v>
      </c>
      <c r="P126" s="16">
        <v>0</v>
      </c>
      <c r="Q126" s="19">
        <v>6.6721823373989161E-5</v>
      </c>
      <c r="R126" s="16">
        <v>0</v>
      </c>
      <c r="S126" s="25">
        <v>0</v>
      </c>
      <c r="T126" s="22">
        <v>3.7909421754953497E-5</v>
      </c>
      <c r="U126" s="25">
        <v>0</v>
      </c>
      <c r="V126" s="22">
        <v>0</v>
      </c>
      <c r="W126" s="25">
        <v>0</v>
      </c>
    </row>
    <row r="127" spans="1:23" x14ac:dyDescent="0.2">
      <c r="A127" s="6" t="s">
        <v>816</v>
      </c>
      <c r="B127" s="19">
        <v>1.2494050452165634E-3</v>
      </c>
      <c r="C127" s="16">
        <v>2.4930057339131879E-4</v>
      </c>
      <c r="D127" s="19">
        <v>5.5427251732101618E-4</v>
      </c>
      <c r="E127" s="16">
        <v>4.7549502428421021E-4</v>
      </c>
      <c r="F127" s="19">
        <v>1.1443655256070859E-3</v>
      </c>
      <c r="G127" s="16">
        <v>4.3048524296587115E-4</v>
      </c>
      <c r="H127" s="22">
        <v>3.9157589719827446E-5</v>
      </c>
      <c r="I127" s="25">
        <v>0</v>
      </c>
      <c r="J127" s="22">
        <v>9.9986668444207444E-5</v>
      </c>
      <c r="K127" s="25">
        <v>0</v>
      </c>
      <c r="L127" s="22">
        <v>2.5822000344293336E-4</v>
      </c>
      <c r="M127" s="25">
        <v>9.3116062520784835E-5</v>
      </c>
      <c r="N127" s="19">
        <v>4.542113158382291E-4</v>
      </c>
      <c r="O127" s="19">
        <v>6.319414822187465E-4</v>
      </c>
      <c r="P127" s="16">
        <v>6.9838724279303163E-4</v>
      </c>
      <c r="Q127" s="19">
        <v>5.2043022231711546E-4</v>
      </c>
      <c r="R127" s="16">
        <v>5.7841443036889988E-4</v>
      </c>
      <c r="S127" s="25">
        <v>0</v>
      </c>
      <c r="T127" s="22">
        <v>9.4773554387383746E-5</v>
      </c>
      <c r="U127" s="25">
        <v>0</v>
      </c>
      <c r="V127" s="22">
        <v>2.0164974699258306E-4</v>
      </c>
      <c r="W127" s="25">
        <v>0</v>
      </c>
    </row>
    <row r="128" spans="1:23" x14ac:dyDescent="0.2">
      <c r="A128" s="6" t="s">
        <v>815</v>
      </c>
      <c r="B128" s="19">
        <v>0</v>
      </c>
      <c r="C128" s="16">
        <v>0</v>
      </c>
      <c r="D128" s="19">
        <v>0</v>
      </c>
      <c r="E128" s="16">
        <v>0</v>
      </c>
      <c r="F128" s="19">
        <v>0</v>
      </c>
      <c r="G128" s="16">
        <v>0</v>
      </c>
      <c r="H128" s="22">
        <v>0</v>
      </c>
      <c r="I128" s="25">
        <v>0</v>
      </c>
      <c r="J128" s="22">
        <v>0</v>
      </c>
      <c r="K128" s="25">
        <v>0</v>
      </c>
      <c r="L128" s="22">
        <v>0</v>
      </c>
      <c r="M128" s="25">
        <v>0</v>
      </c>
      <c r="N128" s="19">
        <v>4.1835252774573728E-5</v>
      </c>
      <c r="O128" s="19">
        <v>0</v>
      </c>
      <c r="P128" s="16">
        <v>0</v>
      </c>
      <c r="Q128" s="19">
        <v>0</v>
      </c>
      <c r="R128" s="16">
        <v>0</v>
      </c>
      <c r="S128" s="25">
        <v>0</v>
      </c>
      <c r="T128" s="22">
        <v>1.2004650222401941E-4</v>
      </c>
      <c r="U128" s="25">
        <v>0</v>
      </c>
      <c r="V128" s="22">
        <v>0</v>
      </c>
      <c r="W128" s="25">
        <v>0</v>
      </c>
    </row>
    <row r="129" spans="1:23" x14ac:dyDescent="0.2">
      <c r="A129" s="6" t="s">
        <v>814</v>
      </c>
      <c r="B129" s="19">
        <v>1.1899095668729176E-4</v>
      </c>
      <c r="C129" s="16">
        <v>0</v>
      </c>
      <c r="D129" s="19">
        <v>1.5633327411618405E-4</v>
      </c>
      <c r="E129" s="16">
        <v>5.4342288489624017E-5</v>
      </c>
      <c r="F129" s="19">
        <v>0</v>
      </c>
      <c r="G129" s="16">
        <v>0</v>
      </c>
      <c r="H129" s="22">
        <v>0</v>
      </c>
      <c r="I129" s="25">
        <v>0</v>
      </c>
      <c r="J129" s="22">
        <v>0</v>
      </c>
      <c r="K129" s="25">
        <v>0</v>
      </c>
      <c r="L129" s="22">
        <v>8.6073334480977787E-5</v>
      </c>
      <c r="M129" s="25">
        <v>0</v>
      </c>
      <c r="N129" s="19">
        <v>2.0319979919078667E-4</v>
      </c>
      <c r="O129" s="19">
        <v>0</v>
      </c>
      <c r="P129" s="16">
        <v>0</v>
      </c>
      <c r="Q129" s="19">
        <v>0</v>
      </c>
      <c r="R129" s="16">
        <v>1.5710021565575058E-4</v>
      </c>
      <c r="S129" s="25">
        <v>0</v>
      </c>
      <c r="T129" s="22">
        <v>6.3182369591589159E-6</v>
      </c>
      <c r="U129" s="25">
        <v>0</v>
      </c>
      <c r="V129" s="22">
        <v>0</v>
      </c>
      <c r="W129" s="25">
        <v>0</v>
      </c>
    </row>
    <row r="130" spans="1:23" x14ac:dyDescent="0.2">
      <c r="A130" s="6" t="s">
        <v>813</v>
      </c>
      <c r="B130" s="19">
        <v>7.2716695753344965E-5</v>
      </c>
      <c r="C130" s="16">
        <v>0</v>
      </c>
      <c r="D130" s="19">
        <v>1.1369692662995204E-4</v>
      </c>
      <c r="E130" s="16">
        <v>0</v>
      </c>
      <c r="F130" s="19">
        <v>0</v>
      </c>
      <c r="G130" s="16">
        <v>0</v>
      </c>
      <c r="H130" s="22">
        <v>0</v>
      </c>
      <c r="I130" s="25">
        <v>0</v>
      </c>
      <c r="J130" s="22">
        <v>0</v>
      </c>
      <c r="K130" s="25">
        <v>0</v>
      </c>
      <c r="L130" s="22">
        <v>0</v>
      </c>
      <c r="M130" s="25">
        <v>0</v>
      </c>
      <c r="N130" s="19">
        <v>0</v>
      </c>
      <c r="O130" s="19">
        <v>0</v>
      </c>
      <c r="P130" s="16">
        <v>0</v>
      </c>
      <c r="Q130" s="19">
        <v>0</v>
      </c>
      <c r="R130" s="16">
        <v>0</v>
      </c>
      <c r="S130" s="25">
        <v>0</v>
      </c>
      <c r="T130" s="22">
        <v>1.2636473918317833E-4</v>
      </c>
      <c r="U130" s="25">
        <v>0</v>
      </c>
      <c r="V130" s="22">
        <v>0</v>
      </c>
      <c r="W130" s="25">
        <v>0</v>
      </c>
    </row>
    <row r="131" spans="1:23" x14ac:dyDescent="0.2">
      <c r="A131" s="6" t="s">
        <v>812</v>
      </c>
      <c r="B131" s="19">
        <v>0</v>
      </c>
      <c r="C131" s="16">
        <v>0</v>
      </c>
      <c r="D131" s="19">
        <v>0</v>
      </c>
      <c r="E131" s="16">
        <v>0</v>
      </c>
      <c r="F131" s="19">
        <v>0</v>
      </c>
      <c r="G131" s="16">
        <v>0</v>
      </c>
      <c r="H131" s="22">
        <v>0</v>
      </c>
      <c r="I131" s="25">
        <v>0</v>
      </c>
      <c r="J131" s="22">
        <v>0</v>
      </c>
      <c r="K131" s="25">
        <v>0</v>
      </c>
      <c r="L131" s="22">
        <v>1.8444285960209527E-5</v>
      </c>
      <c r="M131" s="25">
        <v>0</v>
      </c>
      <c r="N131" s="19">
        <v>0</v>
      </c>
      <c r="O131" s="19">
        <v>0</v>
      </c>
      <c r="P131" s="16">
        <v>0</v>
      </c>
      <c r="Q131" s="19">
        <v>0</v>
      </c>
      <c r="R131" s="16">
        <v>0</v>
      </c>
      <c r="S131" s="25">
        <v>0</v>
      </c>
      <c r="T131" s="22">
        <v>8.8455317428224825E-5</v>
      </c>
      <c r="U131" s="25">
        <v>0</v>
      </c>
      <c r="V131" s="22">
        <v>0</v>
      </c>
      <c r="W131" s="25">
        <v>0</v>
      </c>
    </row>
    <row r="132" spans="1:23" x14ac:dyDescent="0.2">
      <c r="A132" s="6" t="s">
        <v>811</v>
      </c>
      <c r="B132" s="19">
        <v>0</v>
      </c>
      <c r="C132" s="16">
        <v>0</v>
      </c>
      <c r="D132" s="19">
        <v>0</v>
      </c>
      <c r="E132" s="16">
        <v>0</v>
      </c>
      <c r="F132" s="19">
        <v>6.8661931536425158E-5</v>
      </c>
      <c r="G132" s="16">
        <v>0</v>
      </c>
      <c r="H132" s="22">
        <v>0</v>
      </c>
      <c r="I132" s="25">
        <v>0</v>
      </c>
      <c r="J132" s="22">
        <v>0</v>
      </c>
      <c r="K132" s="25">
        <v>0</v>
      </c>
      <c r="L132" s="22">
        <v>0</v>
      </c>
      <c r="M132" s="25">
        <v>0</v>
      </c>
      <c r="N132" s="19">
        <v>0</v>
      </c>
      <c r="O132" s="19">
        <v>0</v>
      </c>
      <c r="P132" s="16">
        <v>0</v>
      </c>
      <c r="Q132" s="19">
        <v>1.8682110544716965E-4</v>
      </c>
      <c r="R132" s="16">
        <v>5.7127351147545669E-5</v>
      </c>
      <c r="S132" s="25">
        <v>0</v>
      </c>
      <c r="T132" s="22">
        <v>0</v>
      </c>
      <c r="U132" s="25">
        <v>0</v>
      </c>
      <c r="V132" s="22">
        <v>0</v>
      </c>
      <c r="W132" s="25">
        <v>0</v>
      </c>
    </row>
    <row r="133" spans="1:23" x14ac:dyDescent="0.2">
      <c r="A133" s="6" t="s">
        <v>810</v>
      </c>
      <c r="B133" s="19">
        <v>0</v>
      </c>
      <c r="C133" s="16">
        <v>0</v>
      </c>
      <c r="D133" s="19">
        <v>0</v>
      </c>
      <c r="E133" s="16">
        <v>0</v>
      </c>
      <c r="F133" s="19">
        <v>0</v>
      </c>
      <c r="G133" s="16">
        <v>0</v>
      </c>
      <c r="H133" s="22">
        <v>0</v>
      </c>
      <c r="I133" s="25">
        <v>0</v>
      </c>
      <c r="J133" s="22">
        <v>0</v>
      </c>
      <c r="K133" s="25">
        <v>0</v>
      </c>
      <c r="L133" s="22">
        <v>0</v>
      </c>
      <c r="M133" s="25">
        <v>0</v>
      </c>
      <c r="N133" s="19">
        <v>0</v>
      </c>
      <c r="O133" s="19">
        <v>0</v>
      </c>
      <c r="P133" s="16">
        <v>0</v>
      </c>
      <c r="Q133" s="19">
        <v>0</v>
      </c>
      <c r="R133" s="16">
        <v>0</v>
      </c>
      <c r="S133" s="25">
        <v>0</v>
      </c>
      <c r="T133" s="22">
        <v>0</v>
      </c>
      <c r="U133" s="25">
        <v>2.5464731347084288E-5</v>
      </c>
      <c r="V133" s="22">
        <v>0</v>
      </c>
      <c r="W133" s="25">
        <v>0</v>
      </c>
    </row>
    <row r="134" spans="1:23" x14ac:dyDescent="0.2">
      <c r="A134" s="6" t="s">
        <v>809</v>
      </c>
      <c r="B134" s="19">
        <v>0</v>
      </c>
      <c r="C134" s="16">
        <v>0</v>
      </c>
      <c r="D134" s="19">
        <v>0</v>
      </c>
      <c r="E134" s="16">
        <v>0</v>
      </c>
      <c r="F134" s="19">
        <v>0</v>
      </c>
      <c r="G134" s="16">
        <v>0</v>
      </c>
      <c r="H134" s="22">
        <v>0</v>
      </c>
      <c r="I134" s="25">
        <v>0</v>
      </c>
      <c r="J134" s="22">
        <v>0</v>
      </c>
      <c r="K134" s="25">
        <v>0</v>
      </c>
      <c r="L134" s="22">
        <v>0</v>
      </c>
      <c r="M134" s="25">
        <v>0</v>
      </c>
      <c r="N134" s="19">
        <v>0</v>
      </c>
      <c r="O134" s="19">
        <v>0</v>
      </c>
      <c r="P134" s="16">
        <v>0</v>
      </c>
      <c r="Q134" s="19">
        <v>2.6688729349595664E-5</v>
      </c>
      <c r="R134" s="16">
        <v>0</v>
      </c>
      <c r="S134" s="25">
        <v>0</v>
      </c>
      <c r="T134" s="22">
        <v>0</v>
      </c>
      <c r="U134" s="25">
        <v>0</v>
      </c>
      <c r="V134" s="22">
        <v>0</v>
      </c>
      <c r="W134" s="25">
        <v>0</v>
      </c>
    </row>
    <row r="135" spans="1:23" x14ac:dyDescent="0.2">
      <c r="A135" s="6" t="s">
        <v>808</v>
      </c>
      <c r="B135" s="19">
        <v>0</v>
      </c>
      <c r="C135" s="16">
        <v>0</v>
      </c>
      <c r="D135" s="19">
        <v>0</v>
      </c>
      <c r="E135" s="16">
        <v>5.4342288489624017E-5</v>
      </c>
      <c r="F135" s="19">
        <v>0</v>
      </c>
      <c r="G135" s="16">
        <v>9.4706753452491652E-5</v>
      </c>
      <c r="H135" s="22">
        <v>2.6105059813218297E-5</v>
      </c>
      <c r="I135" s="25">
        <v>0</v>
      </c>
      <c r="J135" s="22">
        <v>0</v>
      </c>
      <c r="K135" s="25">
        <v>0</v>
      </c>
      <c r="L135" s="22">
        <v>0</v>
      </c>
      <c r="M135" s="25">
        <v>3.3255736614566014E-5</v>
      </c>
      <c r="N135" s="19">
        <v>4.7811717456655691E-5</v>
      </c>
      <c r="O135" s="19">
        <v>1.500861020269523E-4</v>
      </c>
      <c r="P135" s="16">
        <v>5.8198936899419307E-5</v>
      </c>
      <c r="Q135" s="19">
        <v>1.2009928207318049E-4</v>
      </c>
      <c r="R135" s="16">
        <v>6.426827004098888E-5</v>
      </c>
      <c r="S135" s="25">
        <v>0</v>
      </c>
      <c r="T135" s="22">
        <v>6.9500606550748073E-5</v>
      </c>
      <c r="U135" s="25">
        <v>2.5464731347084288E-5</v>
      </c>
      <c r="V135" s="22">
        <v>1.1342798268332798E-4</v>
      </c>
      <c r="W135" s="25">
        <v>0</v>
      </c>
    </row>
    <row r="136" spans="1:23" x14ac:dyDescent="0.2">
      <c r="A136" s="6" t="s">
        <v>807</v>
      </c>
      <c r="B136" s="19">
        <v>0</v>
      </c>
      <c r="C136" s="16">
        <v>0</v>
      </c>
      <c r="D136" s="19">
        <v>0</v>
      </c>
      <c r="E136" s="16">
        <v>0</v>
      </c>
      <c r="F136" s="19">
        <v>0</v>
      </c>
      <c r="G136" s="16">
        <v>0</v>
      </c>
      <c r="H136" s="22">
        <v>0</v>
      </c>
      <c r="I136" s="25">
        <v>9.6589738306202355E-5</v>
      </c>
      <c r="J136" s="22">
        <v>0</v>
      </c>
      <c r="K136" s="25">
        <v>0</v>
      </c>
      <c r="L136" s="22">
        <v>0</v>
      </c>
      <c r="M136" s="25">
        <v>0</v>
      </c>
      <c r="N136" s="19">
        <v>0</v>
      </c>
      <c r="O136" s="19">
        <v>0</v>
      </c>
      <c r="P136" s="16">
        <v>0</v>
      </c>
      <c r="Q136" s="19">
        <v>0</v>
      </c>
      <c r="R136" s="16">
        <v>0</v>
      </c>
      <c r="S136" s="25">
        <v>0</v>
      </c>
      <c r="T136" s="22">
        <v>0</v>
      </c>
      <c r="U136" s="25">
        <v>0</v>
      </c>
      <c r="V136" s="22">
        <v>0</v>
      </c>
      <c r="W136" s="25">
        <v>0</v>
      </c>
    </row>
    <row r="137" spans="1:23" x14ac:dyDescent="0.2">
      <c r="A137" s="6" t="s">
        <v>806</v>
      </c>
      <c r="B137" s="19">
        <v>1.4543339150668996E-4</v>
      </c>
      <c r="C137" s="16">
        <v>3.4625079637683168E-5</v>
      </c>
      <c r="D137" s="19">
        <v>7.319239651803162E-4</v>
      </c>
      <c r="E137" s="16">
        <v>1.0868457697924803E-4</v>
      </c>
      <c r="F137" s="19">
        <v>2.7007026404327226E-3</v>
      </c>
      <c r="G137" s="16">
        <v>1.7133312670041673E-3</v>
      </c>
      <c r="H137" s="22">
        <v>2.0884047850574638E-4</v>
      </c>
      <c r="I137" s="25">
        <v>3.8635895322480941E-5</v>
      </c>
      <c r="J137" s="22">
        <v>0</v>
      </c>
      <c r="K137" s="25">
        <v>0</v>
      </c>
      <c r="L137" s="22">
        <v>1.3525809704153653E-4</v>
      </c>
      <c r="M137" s="25">
        <v>1.1972065181243765E-4</v>
      </c>
      <c r="N137" s="19">
        <v>1.7929394046245882E-4</v>
      </c>
      <c r="O137" s="19">
        <v>2.4487732435976432E-4</v>
      </c>
      <c r="P137" s="16">
        <v>1.6166371360949806E-4</v>
      </c>
      <c r="Q137" s="19">
        <v>2.8023165817075448E-4</v>
      </c>
      <c r="R137" s="16">
        <v>2.2850940459018268E-4</v>
      </c>
      <c r="S137" s="25">
        <v>0</v>
      </c>
      <c r="T137" s="22">
        <v>3.1591184795794582E-4</v>
      </c>
      <c r="U137" s="25">
        <v>1.5278838808250572E-4</v>
      </c>
      <c r="V137" s="22">
        <v>0</v>
      </c>
      <c r="W137" s="25">
        <v>0</v>
      </c>
    </row>
    <row r="138" spans="1:23" x14ac:dyDescent="0.2">
      <c r="A138" s="6" t="s">
        <v>805</v>
      </c>
      <c r="B138" s="19">
        <v>7.9327304458194517E-5</v>
      </c>
      <c r="C138" s="16">
        <v>1.1149275643333981E-3</v>
      </c>
      <c r="D138" s="19">
        <v>3.7662106946171611E-4</v>
      </c>
      <c r="E138" s="16">
        <v>3.0567537275413511E-4</v>
      </c>
      <c r="F138" s="19">
        <v>1.4495296657689755E-4</v>
      </c>
      <c r="G138" s="16">
        <v>1.0331645831180907E-4</v>
      </c>
      <c r="H138" s="22">
        <v>5.8736384579741169E-5</v>
      </c>
      <c r="I138" s="25">
        <v>2.1249742427364516E-4</v>
      </c>
      <c r="J138" s="22">
        <v>2.5063324890014661E-3</v>
      </c>
      <c r="K138" s="25">
        <v>3.753451835169844E-4</v>
      </c>
      <c r="L138" s="22">
        <v>0</v>
      </c>
      <c r="M138" s="25">
        <v>0</v>
      </c>
      <c r="N138" s="19">
        <v>4.1237606306365531E-4</v>
      </c>
      <c r="O138" s="19">
        <v>0</v>
      </c>
      <c r="P138" s="16">
        <v>1.0993132525445866E-3</v>
      </c>
      <c r="Q138" s="19">
        <v>1.7347674077237182E-4</v>
      </c>
      <c r="R138" s="16">
        <v>3.7846870135249005E-4</v>
      </c>
      <c r="S138" s="25">
        <v>0</v>
      </c>
      <c r="T138" s="22">
        <v>1.0109179134654265E-4</v>
      </c>
      <c r="U138" s="25">
        <v>1.1459129106187928E-4</v>
      </c>
      <c r="V138" s="22">
        <v>1.8274508321202841E-4</v>
      </c>
      <c r="W138" s="25">
        <v>0</v>
      </c>
    </row>
    <row r="139" spans="1:23" x14ac:dyDescent="0.2">
      <c r="A139" s="6" t="s">
        <v>804</v>
      </c>
      <c r="B139" s="19">
        <v>5.9495478343645888E-5</v>
      </c>
      <c r="C139" s="16">
        <v>0</v>
      </c>
      <c r="D139" s="19">
        <v>1.8475750577367207E-4</v>
      </c>
      <c r="E139" s="16">
        <v>6.792786061203002E-5</v>
      </c>
      <c r="F139" s="19">
        <v>0</v>
      </c>
      <c r="G139" s="16">
        <v>0</v>
      </c>
      <c r="H139" s="22">
        <v>3.3283951261853326E-4</v>
      </c>
      <c r="I139" s="25">
        <v>0</v>
      </c>
      <c r="J139" s="22">
        <v>0</v>
      </c>
      <c r="K139" s="25">
        <v>0</v>
      </c>
      <c r="L139" s="22">
        <v>0</v>
      </c>
      <c r="M139" s="25">
        <v>1.3302294645826406E-4</v>
      </c>
      <c r="N139" s="19">
        <v>0</v>
      </c>
      <c r="O139" s="19">
        <v>3.1597074110937325E-4</v>
      </c>
      <c r="P139" s="16">
        <v>2.4572884468643708E-4</v>
      </c>
      <c r="Q139" s="19">
        <v>8.0066188048786993E-5</v>
      </c>
      <c r="R139" s="16">
        <v>0</v>
      </c>
      <c r="S139" s="25">
        <v>0</v>
      </c>
      <c r="T139" s="22">
        <v>1.5163768701981399E-4</v>
      </c>
      <c r="U139" s="25">
        <v>1.2095747389865037E-4</v>
      </c>
      <c r="V139" s="22">
        <v>0</v>
      </c>
      <c r="W139" s="25">
        <v>0</v>
      </c>
    </row>
    <row r="140" spans="1:23" x14ac:dyDescent="0.2">
      <c r="A140" s="6" t="s">
        <v>803</v>
      </c>
      <c r="B140" s="19">
        <v>0</v>
      </c>
      <c r="C140" s="16">
        <v>0</v>
      </c>
      <c r="D140" s="19">
        <v>0</v>
      </c>
      <c r="E140" s="16">
        <v>2.0378358183609007E-5</v>
      </c>
      <c r="F140" s="19">
        <v>0</v>
      </c>
      <c r="G140" s="16">
        <v>0</v>
      </c>
      <c r="H140" s="22">
        <v>0</v>
      </c>
      <c r="I140" s="25">
        <v>0</v>
      </c>
      <c r="J140" s="22">
        <v>0</v>
      </c>
      <c r="K140" s="25">
        <v>0</v>
      </c>
      <c r="L140" s="22">
        <v>0</v>
      </c>
      <c r="M140" s="25">
        <v>0</v>
      </c>
      <c r="N140" s="19">
        <v>0</v>
      </c>
      <c r="O140" s="19">
        <v>2.5277659288749861E-4</v>
      </c>
      <c r="P140" s="16">
        <v>1.6166371360949806E-4</v>
      </c>
      <c r="Q140" s="19">
        <v>1.4678801142277615E-4</v>
      </c>
      <c r="R140" s="16">
        <v>1.3567745897542097E-4</v>
      </c>
      <c r="S140" s="25">
        <v>0</v>
      </c>
      <c r="T140" s="22">
        <v>1.8954710877476749E-5</v>
      </c>
      <c r="U140" s="25">
        <v>7.6394194041252861E-5</v>
      </c>
      <c r="V140" s="22">
        <v>0</v>
      </c>
      <c r="W140" s="25">
        <v>0</v>
      </c>
    </row>
    <row r="141" spans="1:23" x14ac:dyDescent="0.2">
      <c r="A141" s="6" t="s">
        <v>802</v>
      </c>
      <c r="B141" s="19">
        <v>1.9831826114548629E-5</v>
      </c>
      <c r="C141" s="16">
        <v>2.7700063710146532E-5</v>
      </c>
      <c r="D141" s="19">
        <v>5.684846331497602E-5</v>
      </c>
      <c r="E141" s="16">
        <v>6.792786061203002E-5</v>
      </c>
      <c r="F141" s="19">
        <v>0</v>
      </c>
      <c r="G141" s="16">
        <v>4.3048524296587115E-5</v>
      </c>
      <c r="H141" s="22">
        <v>5.8736384579741169E-5</v>
      </c>
      <c r="I141" s="25">
        <v>0</v>
      </c>
      <c r="J141" s="22">
        <v>2.6663111585121983E-5</v>
      </c>
      <c r="K141" s="25">
        <v>0</v>
      </c>
      <c r="L141" s="22">
        <v>2.459238128027937E-5</v>
      </c>
      <c r="M141" s="25">
        <v>0</v>
      </c>
      <c r="N141" s="19">
        <v>0</v>
      </c>
      <c r="O141" s="19">
        <v>8.6891953805077649E-5</v>
      </c>
      <c r="P141" s="16">
        <v>7.1132033988179143E-5</v>
      </c>
      <c r="Q141" s="19">
        <v>0</v>
      </c>
      <c r="R141" s="16">
        <v>9.9972864508204916E-5</v>
      </c>
      <c r="S141" s="25">
        <v>0</v>
      </c>
      <c r="T141" s="22">
        <v>0</v>
      </c>
      <c r="U141" s="25">
        <v>1.2732365673542144E-5</v>
      </c>
      <c r="V141" s="22">
        <v>3.7809327561109323E-5</v>
      </c>
      <c r="W141" s="25">
        <v>0</v>
      </c>
    </row>
    <row r="142" spans="1:23" x14ac:dyDescent="0.2">
      <c r="A142" s="6" t="s">
        <v>801</v>
      </c>
      <c r="B142" s="19">
        <v>0</v>
      </c>
      <c r="C142" s="16">
        <v>0</v>
      </c>
      <c r="D142" s="19">
        <v>1.9186356368804407E-4</v>
      </c>
      <c r="E142" s="16">
        <v>0</v>
      </c>
      <c r="F142" s="19">
        <v>0</v>
      </c>
      <c r="G142" s="16">
        <v>0</v>
      </c>
      <c r="H142" s="22">
        <v>0</v>
      </c>
      <c r="I142" s="25">
        <v>0</v>
      </c>
      <c r="J142" s="22">
        <v>0</v>
      </c>
      <c r="K142" s="25">
        <v>0</v>
      </c>
      <c r="L142" s="22">
        <v>5.533285788062858E-5</v>
      </c>
      <c r="M142" s="25">
        <v>0</v>
      </c>
      <c r="N142" s="19">
        <v>0</v>
      </c>
      <c r="O142" s="19">
        <v>0</v>
      </c>
      <c r="P142" s="16">
        <v>0</v>
      </c>
      <c r="Q142" s="19">
        <v>1.2009928207318049E-4</v>
      </c>
      <c r="R142" s="16">
        <v>0</v>
      </c>
      <c r="S142" s="25">
        <v>0</v>
      </c>
      <c r="T142" s="22">
        <v>9.4773554387383746E-5</v>
      </c>
      <c r="U142" s="25">
        <v>0</v>
      </c>
      <c r="V142" s="22">
        <v>0</v>
      </c>
      <c r="W142" s="25">
        <v>0</v>
      </c>
    </row>
    <row r="143" spans="1:23" x14ac:dyDescent="0.2">
      <c r="A143" s="6" t="s">
        <v>800</v>
      </c>
      <c r="B143" s="19">
        <v>0</v>
      </c>
      <c r="C143" s="16">
        <v>0</v>
      </c>
      <c r="D143" s="19">
        <v>1.2080298454432404E-4</v>
      </c>
      <c r="E143" s="16">
        <v>0</v>
      </c>
      <c r="F143" s="19">
        <v>0</v>
      </c>
      <c r="G143" s="16">
        <v>0</v>
      </c>
      <c r="H143" s="22">
        <v>0</v>
      </c>
      <c r="I143" s="25">
        <v>0</v>
      </c>
      <c r="J143" s="22">
        <v>0</v>
      </c>
      <c r="K143" s="25">
        <v>0</v>
      </c>
      <c r="L143" s="22">
        <v>0</v>
      </c>
      <c r="M143" s="25">
        <v>0</v>
      </c>
      <c r="N143" s="19">
        <v>0</v>
      </c>
      <c r="O143" s="19">
        <v>0</v>
      </c>
      <c r="P143" s="16">
        <v>0</v>
      </c>
      <c r="Q143" s="19">
        <v>0</v>
      </c>
      <c r="R143" s="16">
        <v>0</v>
      </c>
      <c r="S143" s="25">
        <v>0</v>
      </c>
      <c r="T143" s="22">
        <v>7.5818843509906994E-5</v>
      </c>
      <c r="U143" s="25">
        <v>0</v>
      </c>
      <c r="V143" s="22">
        <v>0</v>
      </c>
      <c r="W143" s="25">
        <v>0</v>
      </c>
    </row>
    <row r="144" spans="1:23" x14ac:dyDescent="0.2">
      <c r="A144" s="6" t="s">
        <v>799</v>
      </c>
      <c r="B144" s="19">
        <v>0</v>
      </c>
      <c r="C144" s="16">
        <v>0</v>
      </c>
      <c r="D144" s="19">
        <v>0</v>
      </c>
      <c r="E144" s="16">
        <v>0</v>
      </c>
      <c r="F144" s="19">
        <v>0</v>
      </c>
      <c r="G144" s="16">
        <v>0</v>
      </c>
      <c r="H144" s="22">
        <v>0</v>
      </c>
      <c r="I144" s="25">
        <v>0</v>
      </c>
      <c r="J144" s="22">
        <v>0</v>
      </c>
      <c r="K144" s="25">
        <v>0</v>
      </c>
      <c r="L144" s="22">
        <v>0</v>
      </c>
      <c r="M144" s="25">
        <v>0</v>
      </c>
      <c r="N144" s="19">
        <v>0</v>
      </c>
      <c r="O144" s="19">
        <v>0</v>
      </c>
      <c r="P144" s="16">
        <v>0</v>
      </c>
      <c r="Q144" s="19">
        <v>0</v>
      </c>
      <c r="R144" s="16">
        <v>0</v>
      </c>
      <c r="S144" s="25">
        <v>0</v>
      </c>
      <c r="T144" s="22">
        <v>1.2636473918317833E-4</v>
      </c>
      <c r="U144" s="25">
        <v>0</v>
      </c>
      <c r="V144" s="22">
        <v>0</v>
      </c>
      <c r="W144" s="25">
        <v>0</v>
      </c>
    </row>
    <row r="145" spans="1:23" x14ac:dyDescent="0.2">
      <c r="A145" s="6" t="s">
        <v>798</v>
      </c>
      <c r="B145" s="19">
        <v>0</v>
      </c>
      <c r="C145" s="16">
        <v>0</v>
      </c>
      <c r="D145" s="19">
        <v>0</v>
      </c>
      <c r="E145" s="16">
        <v>0</v>
      </c>
      <c r="F145" s="19">
        <v>0</v>
      </c>
      <c r="G145" s="16">
        <v>0</v>
      </c>
      <c r="H145" s="22">
        <v>0</v>
      </c>
      <c r="I145" s="25">
        <v>1.931794766124047E-5</v>
      </c>
      <c r="J145" s="22">
        <v>1.9997333688841487E-5</v>
      </c>
      <c r="K145" s="25">
        <v>0</v>
      </c>
      <c r="L145" s="22">
        <v>0</v>
      </c>
      <c r="M145" s="25">
        <v>0</v>
      </c>
      <c r="N145" s="19">
        <v>0</v>
      </c>
      <c r="O145" s="19">
        <v>0</v>
      </c>
      <c r="P145" s="16">
        <v>0</v>
      </c>
      <c r="Q145" s="19">
        <v>0</v>
      </c>
      <c r="R145" s="16">
        <v>7.1409188934432086E-6</v>
      </c>
      <c r="S145" s="25">
        <v>0</v>
      </c>
      <c r="T145" s="22">
        <v>0</v>
      </c>
      <c r="U145" s="25">
        <v>0</v>
      </c>
      <c r="V145" s="22">
        <v>0</v>
      </c>
      <c r="W145" s="25">
        <v>0</v>
      </c>
    </row>
    <row r="146" spans="1:23" x14ac:dyDescent="0.2">
      <c r="A146" s="6" t="s">
        <v>797</v>
      </c>
      <c r="B146" s="19">
        <v>4.5692527367920038E-2</v>
      </c>
      <c r="C146" s="16">
        <v>1.5962161712971937E-2</v>
      </c>
      <c r="D146" s="19">
        <v>3.1437200213181769E-2</v>
      </c>
      <c r="E146" s="16">
        <v>2.8713106680705092E-2</v>
      </c>
      <c r="F146" s="19">
        <v>3.7085072133173615E-2</v>
      </c>
      <c r="G146" s="16">
        <v>1.7632675551882089E-2</v>
      </c>
      <c r="H146" s="22">
        <v>4.2048725094141322E-2</v>
      </c>
      <c r="I146" s="25">
        <v>3.9073768802802361E-2</v>
      </c>
      <c r="J146" s="22">
        <v>2.0590587921610455E-2</v>
      </c>
      <c r="K146" s="25">
        <v>1.6066114373039491E-2</v>
      </c>
      <c r="L146" s="22">
        <v>6.9965324742394766E-2</v>
      </c>
      <c r="M146" s="25">
        <v>5.8756235450615243E-2</v>
      </c>
      <c r="N146" s="19">
        <v>3.0228958361970558E-2</v>
      </c>
      <c r="O146" s="19">
        <v>2.7995007662290468E-2</v>
      </c>
      <c r="P146" s="16">
        <v>1.4498001836499781E-2</v>
      </c>
      <c r="Q146" s="19">
        <v>2.1084096186180578E-2</v>
      </c>
      <c r="R146" s="16">
        <v>1.4374669732501174E-2</v>
      </c>
      <c r="S146" s="25">
        <v>2.2284194323326918E-2</v>
      </c>
      <c r="T146" s="22">
        <v>4.050621714516775E-2</v>
      </c>
      <c r="U146" s="25">
        <v>5.1483320600967719E-2</v>
      </c>
      <c r="V146" s="22">
        <v>1.3529437712283621E-2</v>
      </c>
      <c r="W146" s="25">
        <v>7.1955491448588522E-3</v>
      </c>
    </row>
    <row r="147" spans="1:23" x14ac:dyDescent="0.2">
      <c r="A147" s="6" t="s">
        <v>796</v>
      </c>
      <c r="B147" s="19">
        <v>9.9820191443228054E-4</v>
      </c>
      <c r="C147" s="16">
        <v>9.002520705797624E-5</v>
      </c>
      <c r="D147" s="19">
        <v>3.126665482323681E-4</v>
      </c>
      <c r="E147" s="16">
        <v>1.3585572122406004E-4</v>
      </c>
      <c r="F147" s="19">
        <v>0</v>
      </c>
      <c r="G147" s="16">
        <v>0</v>
      </c>
      <c r="H147" s="22">
        <v>0</v>
      </c>
      <c r="I147" s="25">
        <v>1.2878631774160313E-5</v>
      </c>
      <c r="J147" s="22">
        <v>0</v>
      </c>
      <c r="K147" s="25">
        <v>0</v>
      </c>
      <c r="L147" s="22">
        <v>6.7014238988761274E-4</v>
      </c>
      <c r="M147" s="25">
        <v>0</v>
      </c>
      <c r="N147" s="19">
        <v>5.856935388440322E-4</v>
      </c>
      <c r="O147" s="19">
        <v>5.5294879694140323E-5</v>
      </c>
      <c r="P147" s="16">
        <v>4.9145768937287415E-4</v>
      </c>
      <c r="Q147" s="19">
        <v>0</v>
      </c>
      <c r="R147" s="16">
        <v>4.9986432254102458E-5</v>
      </c>
      <c r="S147" s="25">
        <v>0</v>
      </c>
      <c r="T147" s="22">
        <v>1.8954710877476749E-5</v>
      </c>
      <c r="U147" s="25">
        <v>0</v>
      </c>
      <c r="V147" s="22">
        <v>0</v>
      </c>
      <c r="W147" s="25">
        <v>0</v>
      </c>
    </row>
    <row r="148" spans="1:23" x14ac:dyDescent="0.2">
      <c r="A148" s="6" t="s">
        <v>795</v>
      </c>
      <c r="B148" s="19">
        <v>0</v>
      </c>
      <c r="C148" s="16">
        <v>0</v>
      </c>
      <c r="D148" s="19">
        <v>7.1060579143720015E-5</v>
      </c>
      <c r="E148" s="16">
        <v>0</v>
      </c>
      <c r="F148" s="19">
        <v>0</v>
      </c>
      <c r="G148" s="16">
        <v>0</v>
      </c>
      <c r="H148" s="22">
        <v>0</v>
      </c>
      <c r="I148" s="25">
        <v>0</v>
      </c>
      <c r="J148" s="22">
        <v>0</v>
      </c>
      <c r="K148" s="25">
        <v>0</v>
      </c>
      <c r="L148" s="22">
        <v>0</v>
      </c>
      <c r="M148" s="25">
        <v>0</v>
      </c>
      <c r="N148" s="19">
        <v>0</v>
      </c>
      <c r="O148" s="19">
        <v>0</v>
      </c>
      <c r="P148" s="16">
        <v>0</v>
      </c>
      <c r="Q148" s="19">
        <v>0</v>
      </c>
      <c r="R148" s="16">
        <v>0</v>
      </c>
      <c r="S148" s="25">
        <v>0</v>
      </c>
      <c r="T148" s="22">
        <v>9.4773554387383746E-5</v>
      </c>
      <c r="U148" s="25">
        <v>0</v>
      </c>
      <c r="V148" s="22">
        <v>0</v>
      </c>
      <c r="W148" s="25">
        <v>0</v>
      </c>
    </row>
    <row r="149" spans="1:23" x14ac:dyDescent="0.2">
      <c r="A149" s="6" t="s">
        <v>794</v>
      </c>
      <c r="B149" s="19">
        <v>0</v>
      </c>
      <c r="C149" s="16">
        <v>0</v>
      </c>
      <c r="D149" s="19">
        <v>0</v>
      </c>
      <c r="E149" s="16">
        <v>0</v>
      </c>
      <c r="F149" s="19">
        <v>0</v>
      </c>
      <c r="G149" s="16">
        <v>0</v>
      </c>
      <c r="H149" s="22">
        <v>0</v>
      </c>
      <c r="I149" s="25">
        <v>8.371110653204203E-5</v>
      </c>
      <c r="J149" s="22">
        <v>0</v>
      </c>
      <c r="K149" s="25">
        <v>0</v>
      </c>
      <c r="L149" s="22">
        <v>0</v>
      </c>
      <c r="M149" s="25">
        <v>0</v>
      </c>
      <c r="N149" s="19">
        <v>0</v>
      </c>
      <c r="O149" s="19">
        <v>0</v>
      </c>
      <c r="P149" s="16">
        <v>0</v>
      </c>
      <c r="Q149" s="19">
        <v>0</v>
      </c>
      <c r="R149" s="16">
        <v>0</v>
      </c>
      <c r="S149" s="25">
        <v>0</v>
      </c>
      <c r="T149" s="22">
        <v>0</v>
      </c>
      <c r="U149" s="25">
        <v>0</v>
      </c>
      <c r="V149" s="22">
        <v>0</v>
      </c>
      <c r="W149" s="25">
        <v>0</v>
      </c>
    </row>
    <row r="150" spans="1:23" x14ac:dyDescent="0.2">
      <c r="A150" s="6" t="s">
        <v>793</v>
      </c>
      <c r="B150" s="19">
        <v>1.4543339150668993E-4</v>
      </c>
      <c r="C150" s="16">
        <v>1.3850031855073266E-5</v>
      </c>
      <c r="D150" s="19">
        <v>1.3501510037306803E-4</v>
      </c>
      <c r="E150" s="16">
        <v>2.7171144244812013E-4</v>
      </c>
      <c r="F150" s="19">
        <v>0</v>
      </c>
      <c r="G150" s="16">
        <v>5.1658229155904537E-5</v>
      </c>
      <c r="H150" s="22">
        <v>3.1326071775861952E-3</v>
      </c>
      <c r="I150" s="25">
        <v>1.4810426540284361E-4</v>
      </c>
      <c r="J150" s="22">
        <v>1.066524463404879E-3</v>
      </c>
      <c r="K150" s="25">
        <v>1.6756481407008232E-4</v>
      </c>
      <c r="L150" s="22">
        <v>2.7666428940314292E-4</v>
      </c>
      <c r="M150" s="25">
        <v>9.3116062520784835E-5</v>
      </c>
      <c r="N150" s="19">
        <v>4.8409363924863889E-4</v>
      </c>
      <c r="O150" s="19">
        <v>3.9496342638671656E-5</v>
      </c>
      <c r="P150" s="16">
        <v>9.6998228165698841E-5</v>
      </c>
      <c r="Q150" s="19">
        <v>8.0066188048786993E-4</v>
      </c>
      <c r="R150" s="16">
        <v>1.4995929676230737E-4</v>
      </c>
      <c r="S150" s="25">
        <v>1.2236985322058131E-4</v>
      </c>
      <c r="T150" s="22">
        <v>3.8541245450869383E-4</v>
      </c>
      <c r="U150" s="25">
        <v>1.1777438248026482E-3</v>
      </c>
      <c r="V150" s="22">
        <v>5.041243674814577E-4</v>
      </c>
      <c r="W150" s="25">
        <v>3.2969297341850403E-5</v>
      </c>
    </row>
    <row r="151" spans="1:23" x14ac:dyDescent="0.2">
      <c r="A151" s="6" t="s">
        <v>792</v>
      </c>
      <c r="B151" s="19">
        <v>0</v>
      </c>
      <c r="C151" s="16">
        <v>0</v>
      </c>
      <c r="D151" s="19">
        <v>0</v>
      </c>
      <c r="E151" s="16">
        <v>0</v>
      </c>
      <c r="F151" s="19">
        <v>0</v>
      </c>
      <c r="G151" s="16">
        <v>0</v>
      </c>
      <c r="H151" s="22">
        <v>0</v>
      </c>
      <c r="I151" s="25">
        <v>0</v>
      </c>
      <c r="J151" s="22">
        <v>6.6657778962804954E-5</v>
      </c>
      <c r="K151" s="25">
        <v>8.7133703316442799E-5</v>
      </c>
      <c r="L151" s="22">
        <v>0</v>
      </c>
      <c r="M151" s="25">
        <v>0</v>
      </c>
      <c r="N151" s="19">
        <v>1.9722333450870473E-4</v>
      </c>
      <c r="O151" s="19">
        <v>0</v>
      </c>
      <c r="P151" s="16">
        <v>0</v>
      </c>
      <c r="Q151" s="19">
        <v>0</v>
      </c>
      <c r="R151" s="16">
        <v>0</v>
      </c>
      <c r="S151" s="25">
        <v>8.3726741677239851E-5</v>
      </c>
      <c r="T151" s="22">
        <v>0</v>
      </c>
      <c r="U151" s="25">
        <v>0</v>
      </c>
      <c r="V151" s="22">
        <v>1.197295372768462E-4</v>
      </c>
      <c r="W151" s="25">
        <v>4.8629713579229344E-4</v>
      </c>
    </row>
    <row r="152" spans="1:23" x14ac:dyDescent="0.2">
      <c r="A152" s="6" t="s">
        <v>791</v>
      </c>
      <c r="B152" s="19">
        <v>0</v>
      </c>
      <c r="C152" s="16">
        <v>0</v>
      </c>
      <c r="D152" s="19">
        <v>0</v>
      </c>
      <c r="E152" s="16">
        <v>0</v>
      </c>
      <c r="F152" s="19">
        <v>2.5938951913760612E-4</v>
      </c>
      <c r="G152" s="16">
        <v>0</v>
      </c>
      <c r="H152" s="22">
        <v>1.6968288878591893E-4</v>
      </c>
      <c r="I152" s="25">
        <v>0</v>
      </c>
      <c r="J152" s="22">
        <v>0</v>
      </c>
      <c r="K152" s="25">
        <v>0</v>
      </c>
      <c r="L152" s="22">
        <v>0</v>
      </c>
      <c r="M152" s="25">
        <v>0</v>
      </c>
      <c r="N152" s="19">
        <v>0</v>
      </c>
      <c r="O152" s="19">
        <v>1.8168317613788962E-4</v>
      </c>
      <c r="P152" s="16">
        <v>0</v>
      </c>
      <c r="Q152" s="19">
        <v>0</v>
      </c>
      <c r="R152" s="16">
        <v>0</v>
      </c>
      <c r="S152" s="25">
        <v>0</v>
      </c>
      <c r="T152" s="22">
        <v>0</v>
      </c>
      <c r="U152" s="25">
        <v>0</v>
      </c>
      <c r="V152" s="22">
        <v>0</v>
      </c>
      <c r="W152" s="25">
        <v>0</v>
      </c>
    </row>
    <row r="153" spans="1:23" x14ac:dyDescent="0.2">
      <c r="A153" s="6" t="s">
        <v>790</v>
      </c>
      <c r="B153" s="19">
        <v>0</v>
      </c>
      <c r="C153" s="16">
        <v>0</v>
      </c>
      <c r="D153" s="19">
        <v>0</v>
      </c>
      <c r="E153" s="16">
        <v>0</v>
      </c>
      <c r="F153" s="19">
        <v>2.5176041563355889E-4</v>
      </c>
      <c r="G153" s="16">
        <v>0</v>
      </c>
      <c r="H153" s="22">
        <v>0</v>
      </c>
      <c r="I153" s="25">
        <v>0</v>
      </c>
      <c r="J153" s="22">
        <v>0</v>
      </c>
      <c r="K153" s="25">
        <v>0</v>
      </c>
      <c r="L153" s="22">
        <v>0</v>
      </c>
      <c r="M153" s="25">
        <v>0</v>
      </c>
      <c r="N153" s="19">
        <v>0</v>
      </c>
      <c r="O153" s="19">
        <v>0</v>
      </c>
      <c r="P153" s="16">
        <v>0</v>
      </c>
      <c r="Q153" s="19">
        <v>1.0675491739838266E-4</v>
      </c>
      <c r="R153" s="16">
        <v>0</v>
      </c>
      <c r="S153" s="25">
        <v>0</v>
      </c>
      <c r="T153" s="22">
        <v>0</v>
      </c>
      <c r="U153" s="25">
        <v>0</v>
      </c>
      <c r="V153" s="22">
        <v>0</v>
      </c>
      <c r="W153" s="25">
        <v>0</v>
      </c>
    </row>
    <row r="154" spans="1:23" x14ac:dyDescent="0.2">
      <c r="A154" s="6" t="s">
        <v>789</v>
      </c>
      <c r="B154" s="19">
        <v>0</v>
      </c>
      <c r="C154" s="16">
        <v>2.0775047782609901E-4</v>
      </c>
      <c r="D154" s="19">
        <v>0</v>
      </c>
      <c r="E154" s="16">
        <v>1.9019800971368405E-4</v>
      </c>
      <c r="F154" s="19">
        <v>0</v>
      </c>
      <c r="G154" s="16">
        <v>1.2053586803044392E-4</v>
      </c>
      <c r="H154" s="22">
        <v>1.3052529906609149E-5</v>
      </c>
      <c r="I154" s="25">
        <v>3.8635895322480941E-5</v>
      </c>
      <c r="J154" s="22">
        <v>4.7327023063591523E-4</v>
      </c>
      <c r="K154" s="25">
        <v>3.9545296120539427E-4</v>
      </c>
      <c r="L154" s="22">
        <v>7.9925239160907947E-5</v>
      </c>
      <c r="M154" s="25">
        <v>1.9953441968739608E-5</v>
      </c>
      <c r="N154" s="19">
        <v>0</v>
      </c>
      <c r="O154" s="19">
        <v>0</v>
      </c>
      <c r="P154" s="16">
        <v>0</v>
      </c>
      <c r="Q154" s="19">
        <v>1.7347674077237182E-4</v>
      </c>
      <c r="R154" s="16">
        <v>6.6410545709021823E-4</v>
      </c>
      <c r="S154" s="25">
        <v>9.1455363985908143E-4</v>
      </c>
      <c r="T154" s="22">
        <v>6.9500606550748073E-5</v>
      </c>
      <c r="U154" s="25">
        <v>2.5464731347084291E-4</v>
      </c>
      <c r="V154" s="22">
        <v>2.457606291472106E-4</v>
      </c>
      <c r="W154" s="25">
        <v>6.1817432515969505E-4</v>
      </c>
    </row>
    <row r="155" spans="1:23" x14ac:dyDescent="0.2">
      <c r="A155" s="6" t="s">
        <v>788</v>
      </c>
      <c r="B155" s="19">
        <v>0</v>
      </c>
      <c r="C155" s="16">
        <v>0</v>
      </c>
      <c r="D155" s="19">
        <v>0</v>
      </c>
      <c r="E155" s="16">
        <v>4.754950242842102E-5</v>
      </c>
      <c r="F155" s="19">
        <v>0</v>
      </c>
      <c r="G155" s="16">
        <v>0</v>
      </c>
      <c r="H155" s="22">
        <v>0</v>
      </c>
      <c r="I155" s="25">
        <v>0</v>
      </c>
      <c r="J155" s="22">
        <v>0</v>
      </c>
      <c r="K155" s="25">
        <v>0</v>
      </c>
      <c r="L155" s="22">
        <v>0</v>
      </c>
      <c r="M155" s="25">
        <v>0</v>
      </c>
      <c r="N155" s="19">
        <v>0</v>
      </c>
      <c r="O155" s="19">
        <v>0</v>
      </c>
      <c r="P155" s="16">
        <v>0</v>
      </c>
      <c r="Q155" s="19">
        <v>2.6688729349595664E-5</v>
      </c>
      <c r="R155" s="16">
        <v>9.9972864508204916E-5</v>
      </c>
      <c r="S155" s="25">
        <v>7.0845704496126031E-5</v>
      </c>
      <c r="T155" s="22">
        <v>0</v>
      </c>
      <c r="U155" s="25">
        <v>0</v>
      </c>
      <c r="V155" s="22">
        <v>0</v>
      </c>
      <c r="W155" s="25">
        <v>0</v>
      </c>
    </row>
    <row r="156" spans="1:23" x14ac:dyDescent="0.2">
      <c r="A156" s="6" t="s">
        <v>787</v>
      </c>
      <c r="B156" s="19">
        <v>8.3293669681104229E-4</v>
      </c>
      <c r="C156" s="16">
        <v>9.6257721392759195E-4</v>
      </c>
      <c r="D156" s="19">
        <v>1.0303783975839404E-3</v>
      </c>
      <c r="E156" s="16">
        <v>9.7136840675202932E-4</v>
      </c>
      <c r="F156" s="19">
        <v>2.7312190544489115E-3</v>
      </c>
      <c r="G156" s="16">
        <v>9.0401901022832941E-4</v>
      </c>
      <c r="H156" s="22">
        <v>2.2189300841235553E-4</v>
      </c>
      <c r="I156" s="25">
        <v>8.0491448588501961E-4</v>
      </c>
      <c r="J156" s="22">
        <v>4.5327289694707375E-4</v>
      </c>
      <c r="K156" s="25">
        <v>3.3512962814016465E-4</v>
      </c>
      <c r="L156" s="22">
        <v>4.2421857708481908E-4</v>
      </c>
      <c r="M156" s="25">
        <v>2.6604589291652812E-4</v>
      </c>
      <c r="N156" s="19">
        <v>2.7491737537577022E-3</v>
      </c>
      <c r="O156" s="19">
        <v>1.9195222522394426E-3</v>
      </c>
      <c r="P156" s="16">
        <v>1.2609769661540851E-3</v>
      </c>
      <c r="Q156" s="19">
        <v>2.1217539832928552E-3</v>
      </c>
      <c r="R156" s="16">
        <v>1.7281023722132563E-3</v>
      </c>
      <c r="S156" s="25">
        <v>3.9931215261452852E-4</v>
      </c>
      <c r="T156" s="22">
        <v>2.9063890012131013E-4</v>
      </c>
      <c r="U156" s="25">
        <v>2.6101349630761397E-4</v>
      </c>
      <c r="V156" s="22">
        <v>2.4576062914721065E-4</v>
      </c>
      <c r="W156" s="25">
        <v>6.8411291984339585E-4</v>
      </c>
    </row>
    <row r="157" spans="1:23" x14ac:dyDescent="0.2">
      <c r="A157" s="6" t="s">
        <v>786</v>
      </c>
      <c r="B157" s="19">
        <v>0</v>
      </c>
      <c r="C157" s="16">
        <v>0</v>
      </c>
      <c r="D157" s="19">
        <v>0</v>
      </c>
      <c r="E157" s="16">
        <v>0</v>
      </c>
      <c r="F157" s="19">
        <v>0</v>
      </c>
      <c r="G157" s="16">
        <v>0</v>
      </c>
      <c r="H157" s="22">
        <v>3.2631324766522872E-5</v>
      </c>
      <c r="I157" s="25">
        <v>0</v>
      </c>
      <c r="J157" s="22">
        <v>0</v>
      </c>
      <c r="K157" s="25">
        <v>0</v>
      </c>
      <c r="L157" s="22">
        <v>0</v>
      </c>
      <c r="M157" s="25">
        <v>4.6558031260392418E-5</v>
      </c>
      <c r="N157" s="19">
        <v>0</v>
      </c>
      <c r="O157" s="19">
        <v>0</v>
      </c>
      <c r="P157" s="16">
        <v>0</v>
      </c>
      <c r="Q157" s="19">
        <v>0</v>
      </c>
      <c r="R157" s="16">
        <v>0</v>
      </c>
      <c r="S157" s="25">
        <v>0</v>
      </c>
      <c r="T157" s="22">
        <v>0</v>
      </c>
      <c r="U157" s="25">
        <v>0</v>
      </c>
      <c r="V157" s="22">
        <v>0</v>
      </c>
      <c r="W157" s="25">
        <v>0</v>
      </c>
    </row>
    <row r="158" spans="1:23" x14ac:dyDescent="0.2">
      <c r="A158" s="6" t="s">
        <v>785</v>
      </c>
      <c r="B158" s="19">
        <v>0</v>
      </c>
      <c r="C158" s="16">
        <v>0</v>
      </c>
      <c r="D158" s="19">
        <v>0</v>
      </c>
      <c r="E158" s="16">
        <v>0</v>
      </c>
      <c r="F158" s="19">
        <v>1.5258207008094479E-5</v>
      </c>
      <c r="G158" s="16">
        <v>0</v>
      </c>
      <c r="H158" s="22">
        <v>0</v>
      </c>
      <c r="I158" s="25">
        <v>0</v>
      </c>
      <c r="J158" s="22">
        <v>0</v>
      </c>
      <c r="K158" s="25">
        <v>0</v>
      </c>
      <c r="L158" s="22">
        <v>0</v>
      </c>
      <c r="M158" s="25">
        <v>0</v>
      </c>
      <c r="N158" s="19">
        <v>0</v>
      </c>
      <c r="O158" s="19">
        <v>0</v>
      </c>
      <c r="P158" s="16">
        <v>0</v>
      </c>
      <c r="Q158" s="19">
        <v>0</v>
      </c>
      <c r="R158" s="16">
        <v>0</v>
      </c>
      <c r="S158" s="25">
        <v>0</v>
      </c>
      <c r="T158" s="22">
        <v>0</v>
      </c>
      <c r="U158" s="25">
        <v>0</v>
      </c>
      <c r="V158" s="22">
        <v>0</v>
      </c>
      <c r="W158" s="25">
        <v>0</v>
      </c>
    </row>
    <row r="159" spans="1:23" x14ac:dyDescent="0.2">
      <c r="A159" s="6" t="s">
        <v>784</v>
      </c>
      <c r="B159" s="19">
        <v>3.9663652229097259E-5</v>
      </c>
      <c r="C159" s="16">
        <v>0</v>
      </c>
      <c r="D159" s="19">
        <v>0</v>
      </c>
      <c r="E159" s="16">
        <v>0</v>
      </c>
      <c r="F159" s="19">
        <v>0</v>
      </c>
      <c r="G159" s="16">
        <v>0</v>
      </c>
      <c r="H159" s="22">
        <v>0</v>
      </c>
      <c r="I159" s="25">
        <v>0</v>
      </c>
      <c r="J159" s="22">
        <v>0</v>
      </c>
      <c r="K159" s="25">
        <v>0</v>
      </c>
      <c r="L159" s="22">
        <v>0</v>
      </c>
      <c r="M159" s="25">
        <v>0</v>
      </c>
      <c r="N159" s="19">
        <v>0</v>
      </c>
      <c r="O159" s="19">
        <v>0</v>
      </c>
      <c r="P159" s="16">
        <v>0</v>
      </c>
      <c r="Q159" s="19">
        <v>0</v>
      </c>
      <c r="R159" s="16">
        <v>0</v>
      </c>
      <c r="S159" s="25">
        <v>0</v>
      </c>
      <c r="T159" s="22">
        <v>0</v>
      </c>
      <c r="U159" s="25">
        <v>0</v>
      </c>
      <c r="V159" s="22">
        <v>0</v>
      </c>
      <c r="W159" s="25">
        <v>0</v>
      </c>
    </row>
    <row r="160" spans="1:23" x14ac:dyDescent="0.2">
      <c r="A160" s="6" t="s">
        <v>783</v>
      </c>
      <c r="B160" s="19">
        <v>5.9495478343645881E-5</v>
      </c>
      <c r="C160" s="16">
        <v>0</v>
      </c>
      <c r="D160" s="19">
        <v>0</v>
      </c>
      <c r="E160" s="16">
        <v>0</v>
      </c>
      <c r="F160" s="19">
        <v>0</v>
      </c>
      <c r="G160" s="16">
        <v>0</v>
      </c>
      <c r="H160" s="22">
        <v>0</v>
      </c>
      <c r="I160" s="25">
        <v>0</v>
      </c>
      <c r="J160" s="22">
        <v>0</v>
      </c>
      <c r="K160" s="25">
        <v>0</v>
      </c>
      <c r="L160" s="22">
        <v>0</v>
      </c>
      <c r="M160" s="25">
        <v>0</v>
      </c>
      <c r="N160" s="19">
        <v>0</v>
      </c>
      <c r="O160" s="19">
        <v>0</v>
      </c>
      <c r="P160" s="16">
        <v>0</v>
      </c>
      <c r="Q160" s="19">
        <v>0</v>
      </c>
      <c r="R160" s="16">
        <v>0</v>
      </c>
      <c r="S160" s="25">
        <v>0</v>
      </c>
      <c r="T160" s="22">
        <v>0</v>
      </c>
      <c r="U160" s="25">
        <v>0</v>
      </c>
      <c r="V160" s="22">
        <v>0</v>
      </c>
      <c r="W160" s="25">
        <v>0</v>
      </c>
    </row>
    <row r="161" spans="1:23" x14ac:dyDescent="0.2">
      <c r="A161" s="6" t="s">
        <v>782</v>
      </c>
      <c r="B161" s="19">
        <v>0</v>
      </c>
      <c r="C161" s="16">
        <v>0</v>
      </c>
      <c r="D161" s="19">
        <v>0</v>
      </c>
      <c r="E161" s="16">
        <v>0</v>
      </c>
      <c r="F161" s="19">
        <v>0</v>
      </c>
      <c r="G161" s="16">
        <v>0</v>
      </c>
      <c r="H161" s="22">
        <v>0</v>
      </c>
      <c r="I161" s="25">
        <v>0</v>
      </c>
      <c r="J161" s="22">
        <v>0</v>
      </c>
      <c r="K161" s="25">
        <v>0</v>
      </c>
      <c r="L161" s="22">
        <v>0</v>
      </c>
      <c r="M161" s="25">
        <v>0</v>
      </c>
      <c r="N161" s="19">
        <v>0</v>
      </c>
      <c r="O161" s="19">
        <v>0</v>
      </c>
      <c r="P161" s="16">
        <v>0</v>
      </c>
      <c r="Q161" s="19">
        <v>0</v>
      </c>
      <c r="R161" s="16">
        <v>0</v>
      </c>
      <c r="S161" s="25">
        <v>0</v>
      </c>
      <c r="T161" s="22">
        <v>6.3182369591589159E-6</v>
      </c>
      <c r="U161" s="25">
        <v>0</v>
      </c>
      <c r="V161" s="22">
        <v>0</v>
      </c>
      <c r="W161" s="25">
        <v>0</v>
      </c>
    </row>
    <row r="162" spans="1:23" x14ac:dyDescent="0.2">
      <c r="A162" s="6" t="s">
        <v>781</v>
      </c>
      <c r="B162" s="19">
        <v>3.9663652229097259E-5</v>
      </c>
      <c r="C162" s="16">
        <v>0</v>
      </c>
      <c r="D162" s="19">
        <v>7.8166637058092026E-5</v>
      </c>
      <c r="E162" s="16">
        <v>2.7171144244812009E-5</v>
      </c>
      <c r="F162" s="19">
        <v>0</v>
      </c>
      <c r="G162" s="16">
        <v>0</v>
      </c>
      <c r="H162" s="22">
        <v>5.2210119626436595E-5</v>
      </c>
      <c r="I162" s="25">
        <v>0</v>
      </c>
      <c r="J162" s="22">
        <v>0</v>
      </c>
      <c r="K162" s="25">
        <v>0</v>
      </c>
      <c r="L162" s="22">
        <v>4.3036667240488894E-5</v>
      </c>
      <c r="M162" s="25">
        <v>0</v>
      </c>
      <c r="N162" s="19">
        <v>0</v>
      </c>
      <c r="O162" s="19">
        <v>0</v>
      </c>
      <c r="P162" s="16">
        <v>0</v>
      </c>
      <c r="Q162" s="19">
        <v>9.3410552723584826E-5</v>
      </c>
      <c r="R162" s="16">
        <v>4.9986432254102458E-5</v>
      </c>
      <c r="S162" s="25">
        <v>0</v>
      </c>
      <c r="T162" s="22">
        <v>1.4531945006065507E-4</v>
      </c>
      <c r="U162" s="25">
        <v>0</v>
      </c>
      <c r="V162" s="22">
        <v>0</v>
      </c>
      <c r="W162" s="25">
        <v>0</v>
      </c>
    </row>
    <row r="163" spans="1:23" x14ac:dyDescent="0.2">
      <c r="A163" s="6" t="s">
        <v>780</v>
      </c>
      <c r="B163" s="19">
        <v>6.3461843566555603E-4</v>
      </c>
      <c r="C163" s="16">
        <v>3.4625079637683168E-5</v>
      </c>
      <c r="D163" s="19">
        <v>4.0504530111920415E-4</v>
      </c>
      <c r="E163" s="16">
        <v>7.4720646673233032E-5</v>
      </c>
      <c r="F163" s="19">
        <v>5.3403724528330679E-5</v>
      </c>
      <c r="G163" s="16">
        <v>5.1658229155904537E-5</v>
      </c>
      <c r="H163" s="22">
        <v>0</v>
      </c>
      <c r="I163" s="25">
        <v>0</v>
      </c>
      <c r="J163" s="22">
        <v>0</v>
      </c>
      <c r="K163" s="25">
        <v>0</v>
      </c>
      <c r="L163" s="22">
        <v>1.1066571576125716E-4</v>
      </c>
      <c r="M163" s="25">
        <v>1.5297638842700368E-4</v>
      </c>
      <c r="N163" s="19">
        <v>1.1295518249134907E-3</v>
      </c>
      <c r="O163" s="19">
        <v>8.6891953805077649E-5</v>
      </c>
      <c r="P163" s="16">
        <v>1.4873061652073821E-4</v>
      </c>
      <c r="Q163" s="19">
        <v>4.0033094024393497E-5</v>
      </c>
      <c r="R163" s="16">
        <v>2.8563675573772835E-5</v>
      </c>
      <c r="S163" s="25">
        <v>0</v>
      </c>
      <c r="T163" s="22">
        <v>1.6427416093813181E-4</v>
      </c>
      <c r="U163" s="25">
        <v>0</v>
      </c>
      <c r="V163" s="22">
        <v>0</v>
      </c>
      <c r="W163" s="25">
        <v>0</v>
      </c>
    </row>
    <row r="164" spans="1:23" x14ac:dyDescent="0.2">
      <c r="A164" s="6" t="s">
        <v>779</v>
      </c>
      <c r="B164" s="19">
        <v>0</v>
      </c>
      <c r="C164" s="16">
        <v>0</v>
      </c>
      <c r="D164" s="19">
        <v>0</v>
      </c>
      <c r="E164" s="16">
        <v>0</v>
      </c>
      <c r="F164" s="19">
        <v>0</v>
      </c>
      <c r="G164" s="16">
        <v>0</v>
      </c>
      <c r="H164" s="22">
        <v>9.1367709346264041E-5</v>
      </c>
      <c r="I164" s="25">
        <v>0</v>
      </c>
      <c r="J164" s="22">
        <v>0</v>
      </c>
      <c r="K164" s="25">
        <v>0</v>
      </c>
      <c r="L164" s="22">
        <v>0</v>
      </c>
      <c r="M164" s="25">
        <v>0</v>
      </c>
      <c r="N164" s="19">
        <v>0</v>
      </c>
      <c r="O164" s="19">
        <v>0</v>
      </c>
      <c r="P164" s="16">
        <v>0</v>
      </c>
      <c r="Q164" s="19">
        <v>0</v>
      </c>
      <c r="R164" s="16">
        <v>3.5704594467216042E-5</v>
      </c>
      <c r="S164" s="25">
        <v>0</v>
      </c>
      <c r="T164" s="22">
        <v>0</v>
      </c>
      <c r="U164" s="25">
        <v>5.0929462694168576E-5</v>
      </c>
      <c r="V164" s="22">
        <v>0</v>
      </c>
      <c r="W164" s="25">
        <v>0</v>
      </c>
    </row>
    <row r="165" spans="1:23" x14ac:dyDescent="0.2">
      <c r="A165" s="6" t="s">
        <v>778</v>
      </c>
      <c r="B165" s="19">
        <v>0</v>
      </c>
      <c r="C165" s="16">
        <v>7.6175175202902962E-5</v>
      </c>
      <c r="D165" s="19">
        <v>0</v>
      </c>
      <c r="E165" s="16">
        <v>7.4720646673233032E-5</v>
      </c>
      <c r="F165" s="19">
        <v>0</v>
      </c>
      <c r="G165" s="16">
        <v>1.4636498260839619E-4</v>
      </c>
      <c r="H165" s="22">
        <v>0</v>
      </c>
      <c r="I165" s="25">
        <v>0</v>
      </c>
      <c r="J165" s="22">
        <v>0</v>
      </c>
      <c r="K165" s="25">
        <v>0</v>
      </c>
      <c r="L165" s="22">
        <v>0</v>
      </c>
      <c r="M165" s="25">
        <v>0</v>
      </c>
      <c r="N165" s="19">
        <v>0</v>
      </c>
      <c r="O165" s="19">
        <v>0</v>
      </c>
      <c r="P165" s="16">
        <v>5.8198936899419307E-5</v>
      </c>
      <c r="Q165" s="19">
        <v>5.0708585764231763E-4</v>
      </c>
      <c r="R165" s="16">
        <v>2.4279124237706911E-4</v>
      </c>
      <c r="S165" s="25">
        <v>0</v>
      </c>
      <c r="T165" s="22">
        <v>0</v>
      </c>
      <c r="U165" s="25">
        <v>0</v>
      </c>
      <c r="V165" s="22">
        <v>0</v>
      </c>
      <c r="W165" s="25">
        <v>8.2423243354626008E-5</v>
      </c>
    </row>
    <row r="166" spans="1:23" x14ac:dyDescent="0.2">
      <c r="A166" s="6" t="s">
        <v>777</v>
      </c>
      <c r="B166" s="19">
        <v>0</v>
      </c>
      <c r="C166" s="16">
        <v>0</v>
      </c>
      <c r="D166" s="19">
        <v>0</v>
      </c>
      <c r="E166" s="16">
        <v>0</v>
      </c>
      <c r="F166" s="19">
        <v>0</v>
      </c>
      <c r="G166" s="16">
        <v>0</v>
      </c>
      <c r="H166" s="22">
        <v>0</v>
      </c>
      <c r="I166" s="25">
        <v>0</v>
      </c>
      <c r="J166" s="22">
        <v>0</v>
      </c>
      <c r="K166" s="25">
        <v>0</v>
      </c>
      <c r="L166" s="22">
        <v>0</v>
      </c>
      <c r="M166" s="25">
        <v>0</v>
      </c>
      <c r="N166" s="19">
        <v>0</v>
      </c>
      <c r="O166" s="19">
        <v>1.5798537055468663E-5</v>
      </c>
      <c r="P166" s="16">
        <v>0</v>
      </c>
      <c r="Q166" s="19">
        <v>0</v>
      </c>
      <c r="R166" s="16">
        <v>0</v>
      </c>
      <c r="S166" s="25">
        <v>0</v>
      </c>
      <c r="T166" s="22">
        <v>0</v>
      </c>
      <c r="U166" s="25">
        <v>0</v>
      </c>
      <c r="V166" s="22">
        <v>0</v>
      </c>
      <c r="W166" s="25">
        <v>0</v>
      </c>
    </row>
    <row r="167" spans="1:23" x14ac:dyDescent="0.2">
      <c r="A167" s="6" t="s">
        <v>776</v>
      </c>
      <c r="B167" s="19">
        <v>0</v>
      </c>
      <c r="C167" s="16">
        <v>0</v>
      </c>
      <c r="D167" s="19">
        <v>0</v>
      </c>
      <c r="E167" s="16">
        <v>0</v>
      </c>
      <c r="F167" s="19">
        <v>0</v>
      </c>
      <c r="G167" s="16">
        <v>0</v>
      </c>
      <c r="H167" s="22">
        <v>0</v>
      </c>
      <c r="I167" s="25">
        <v>0</v>
      </c>
      <c r="J167" s="22">
        <v>1.3331555792560992E-5</v>
      </c>
      <c r="K167" s="25">
        <v>2.0107777688409878E-5</v>
      </c>
      <c r="L167" s="22">
        <v>4.3036667240488894E-5</v>
      </c>
      <c r="M167" s="25">
        <v>3.3255736614566014E-5</v>
      </c>
      <c r="N167" s="19">
        <v>0</v>
      </c>
      <c r="O167" s="19">
        <v>0</v>
      </c>
      <c r="P167" s="16">
        <v>0</v>
      </c>
      <c r="Q167" s="19">
        <v>0</v>
      </c>
      <c r="R167" s="16">
        <v>0</v>
      </c>
      <c r="S167" s="25">
        <v>0</v>
      </c>
      <c r="T167" s="22">
        <v>9.4773554387383746E-5</v>
      </c>
      <c r="U167" s="25">
        <v>5.0929462694168576E-5</v>
      </c>
      <c r="V167" s="22">
        <v>0</v>
      </c>
      <c r="W167" s="25">
        <v>0</v>
      </c>
    </row>
    <row r="168" spans="1:23" x14ac:dyDescent="0.2">
      <c r="A168" s="6" t="s">
        <v>775</v>
      </c>
      <c r="B168" s="19">
        <v>0</v>
      </c>
      <c r="C168" s="16">
        <v>0</v>
      </c>
      <c r="D168" s="19">
        <v>0</v>
      </c>
      <c r="E168" s="16">
        <v>0</v>
      </c>
      <c r="F168" s="19">
        <v>0</v>
      </c>
      <c r="G168" s="16">
        <v>0</v>
      </c>
      <c r="H168" s="22">
        <v>0</v>
      </c>
      <c r="I168" s="25">
        <v>0</v>
      </c>
      <c r="J168" s="22">
        <v>0</v>
      </c>
      <c r="K168" s="25">
        <v>0</v>
      </c>
      <c r="L168" s="22">
        <v>0</v>
      </c>
      <c r="M168" s="25">
        <v>0</v>
      </c>
      <c r="N168" s="19">
        <v>0</v>
      </c>
      <c r="O168" s="19">
        <v>0</v>
      </c>
      <c r="P168" s="16">
        <v>0</v>
      </c>
      <c r="Q168" s="19">
        <v>0</v>
      </c>
      <c r="R168" s="16">
        <v>0</v>
      </c>
      <c r="S168" s="25">
        <v>0</v>
      </c>
      <c r="T168" s="22">
        <v>0</v>
      </c>
      <c r="U168" s="25">
        <v>0</v>
      </c>
      <c r="V168" s="22">
        <v>5.6713991341663988E-5</v>
      </c>
      <c r="W168" s="25">
        <v>0</v>
      </c>
    </row>
    <row r="169" spans="1:23" x14ac:dyDescent="0.2">
      <c r="A169" s="6" t="s">
        <v>774</v>
      </c>
      <c r="B169" s="19">
        <v>1.9170765244063673E-4</v>
      </c>
      <c r="C169" s="16">
        <v>0</v>
      </c>
      <c r="D169" s="19">
        <v>4.9742405400604016E-5</v>
      </c>
      <c r="E169" s="16">
        <v>1.6302686546887209E-4</v>
      </c>
      <c r="F169" s="19">
        <v>6.4084469433996812E-4</v>
      </c>
      <c r="G169" s="16">
        <v>0</v>
      </c>
      <c r="H169" s="22">
        <v>1.5663035887930978E-4</v>
      </c>
      <c r="I169" s="25">
        <v>0</v>
      </c>
      <c r="J169" s="22">
        <v>0</v>
      </c>
      <c r="K169" s="25">
        <v>0</v>
      </c>
      <c r="L169" s="22">
        <v>0</v>
      </c>
      <c r="M169" s="25">
        <v>1.3302294645826406E-4</v>
      </c>
      <c r="N169" s="19">
        <v>0</v>
      </c>
      <c r="O169" s="19">
        <v>1.2638829644374931E-4</v>
      </c>
      <c r="P169" s="16">
        <v>0</v>
      </c>
      <c r="Q169" s="19">
        <v>0</v>
      </c>
      <c r="R169" s="16">
        <v>3.5704594467216042E-5</v>
      </c>
      <c r="S169" s="25">
        <v>0</v>
      </c>
      <c r="T169" s="22">
        <v>6.3182369591589164E-5</v>
      </c>
      <c r="U169" s="25">
        <v>0</v>
      </c>
      <c r="V169" s="22">
        <v>0</v>
      </c>
      <c r="W169" s="25">
        <v>0</v>
      </c>
    </row>
    <row r="170" spans="1:23" x14ac:dyDescent="0.2">
      <c r="A170" s="6" t="s">
        <v>773</v>
      </c>
      <c r="B170" s="19">
        <v>0</v>
      </c>
      <c r="C170" s="16">
        <v>0</v>
      </c>
      <c r="D170" s="19">
        <v>0</v>
      </c>
      <c r="E170" s="16">
        <v>0</v>
      </c>
      <c r="F170" s="19">
        <v>0</v>
      </c>
      <c r="G170" s="16">
        <v>0</v>
      </c>
      <c r="H170" s="22">
        <v>0</v>
      </c>
      <c r="I170" s="25">
        <v>0</v>
      </c>
      <c r="J170" s="22">
        <v>0</v>
      </c>
      <c r="K170" s="25">
        <v>0</v>
      </c>
      <c r="L170" s="22">
        <v>0</v>
      </c>
      <c r="M170" s="25">
        <v>0</v>
      </c>
      <c r="N170" s="19">
        <v>0</v>
      </c>
      <c r="O170" s="19">
        <v>0</v>
      </c>
      <c r="P170" s="16">
        <v>0</v>
      </c>
      <c r="Q170" s="19">
        <v>0</v>
      </c>
      <c r="R170" s="16">
        <v>0</v>
      </c>
      <c r="S170" s="25">
        <v>0</v>
      </c>
      <c r="T170" s="22">
        <v>3.475030327537404E-4</v>
      </c>
      <c r="U170" s="25">
        <v>0</v>
      </c>
      <c r="V170" s="22">
        <v>0</v>
      </c>
      <c r="W170" s="25">
        <v>0</v>
      </c>
    </row>
    <row r="171" spans="1:23" x14ac:dyDescent="0.2">
      <c r="A171" s="6" t="s">
        <v>772</v>
      </c>
      <c r="B171" s="19">
        <v>0</v>
      </c>
      <c r="C171" s="16">
        <v>0</v>
      </c>
      <c r="D171" s="19">
        <v>4.9742405400604016E-5</v>
      </c>
      <c r="E171" s="16">
        <v>4.0756716367218015E-5</v>
      </c>
      <c r="F171" s="19">
        <v>0</v>
      </c>
      <c r="G171" s="16">
        <v>6.026793401522196E-5</v>
      </c>
      <c r="H171" s="22">
        <v>0</v>
      </c>
      <c r="I171" s="25">
        <v>0</v>
      </c>
      <c r="J171" s="22">
        <v>0</v>
      </c>
      <c r="K171" s="25">
        <v>0</v>
      </c>
      <c r="L171" s="22">
        <v>2.459238128027937E-5</v>
      </c>
      <c r="M171" s="25">
        <v>0</v>
      </c>
      <c r="N171" s="19">
        <v>0</v>
      </c>
      <c r="O171" s="19">
        <v>1.1848902791601498E-4</v>
      </c>
      <c r="P171" s="16">
        <v>0</v>
      </c>
      <c r="Q171" s="19">
        <v>0</v>
      </c>
      <c r="R171" s="16">
        <v>0</v>
      </c>
      <c r="S171" s="25">
        <v>0</v>
      </c>
      <c r="T171" s="22">
        <v>0</v>
      </c>
      <c r="U171" s="25">
        <v>0</v>
      </c>
      <c r="V171" s="22">
        <v>0</v>
      </c>
      <c r="W171" s="25">
        <v>0</v>
      </c>
    </row>
    <row r="172" spans="1:23" x14ac:dyDescent="0.2">
      <c r="A172" s="6" t="s">
        <v>771</v>
      </c>
      <c r="B172" s="19">
        <v>0</v>
      </c>
      <c r="C172" s="16">
        <v>0</v>
      </c>
      <c r="D172" s="19">
        <v>0</v>
      </c>
      <c r="E172" s="16">
        <v>0</v>
      </c>
      <c r="F172" s="19">
        <v>0</v>
      </c>
      <c r="G172" s="16">
        <v>1.9802321176430073E-4</v>
      </c>
      <c r="H172" s="22">
        <v>0</v>
      </c>
      <c r="I172" s="25">
        <v>0</v>
      </c>
      <c r="J172" s="22">
        <v>0</v>
      </c>
      <c r="K172" s="25">
        <v>0</v>
      </c>
      <c r="L172" s="22">
        <v>5.533285788062858E-5</v>
      </c>
      <c r="M172" s="25">
        <v>1.7292983039574327E-4</v>
      </c>
      <c r="N172" s="19">
        <v>0</v>
      </c>
      <c r="O172" s="19">
        <v>0</v>
      </c>
      <c r="P172" s="16">
        <v>0</v>
      </c>
      <c r="Q172" s="19">
        <v>4.136753049187328E-4</v>
      </c>
      <c r="R172" s="16">
        <v>0</v>
      </c>
      <c r="S172" s="25">
        <v>0</v>
      </c>
      <c r="T172" s="22">
        <v>6.0023251112009701E-4</v>
      </c>
      <c r="U172" s="25">
        <v>1.0822510822510823E-4</v>
      </c>
      <c r="V172" s="22">
        <v>0</v>
      </c>
      <c r="W172" s="25">
        <v>0</v>
      </c>
    </row>
    <row r="173" spans="1:23" x14ac:dyDescent="0.2">
      <c r="A173" s="6" t="s">
        <v>770</v>
      </c>
      <c r="B173" s="19">
        <v>3.0408800042307899E-4</v>
      </c>
      <c r="C173" s="16">
        <v>6.9250159275366336E-5</v>
      </c>
      <c r="D173" s="19">
        <v>9.9484810801208032E-5</v>
      </c>
      <c r="E173" s="16">
        <v>0</v>
      </c>
      <c r="F173" s="19">
        <v>9.8415435202209387E-4</v>
      </c>
      <c r="G173" s="16">
        <v>9.4706753452491652E-5</v>
      </c>
      <c r="H173" s="22">
        <v>1.9578794859913723E-5</v>
      </c>
      <c r="I173" s="25">
        <v>1.931794766124047E-5</v>
      </c>
      <c r="J173" s="22">
        <v>3.9994667377682974E-5</v>
      </c>
      <c r="K173" s="25">
        <v>0</v>
      </c>
      <c r="L173" s="22">
        <v>1.8444285960209528E-4</v>
      </c>
      <c r="M173" s="25">
        <v>1.9953441968739608E-5</v>
      </c>
      <c r="N173" s="19">
        <v>2.6894091069368822E-4</v>
      </c>
      <c r="O173" s="19">
        <v>0</v>
      </c>
      <c r="P173" s="16">
        <v>2.3279574759767726E-4</v>
      </c>
      <c r="Q173" s="19">
        <v>4.0033094024393497E-5</v>
      </c>
      <c r="R173" s="16">
        <v>0</v>
      </c>
      <c r="S173" s="25">
        <v>0</v>
      </c>
      <c r="T173" s="22">
        <v>2.5272947836635664E-5</v>
      </c>
      <c r="U173" s="25">
        <v>3.819709702062643E-5</v>
      </c>
      <c r="V173" s="22">
        <v>8.8221764309255081E-5</v>
      </c>
      <c r="W173" s="25">
        <v>0</v>
      </c>
    </row>
    <row r="174" spans="1:23" x14ac:dyDescent="0.2">
      <c r="A174" s="6" t="s">
        <v>769</v>
      </c>
      <c r="B174" s="19">
        <v>0</v>
      </c>
      <c r="C174" s="16">
        <v>0</v>
      </c>
      <c r="D174" s="19">
        <v>0</v>
      </c>
      <c r="E174" s="16">
        <v>0</v>
      </c>
      <c r="F174" s="19">
        <v>0</v>
      </c>
      <c r="G174" s="16">
        <v>0</v>
      </c>
      <c r="H174" s="22">
        <v>0</v>
      </c>
      <c r="I174" s="25">
        <v>0</v>
      </c>
      <c r="J174" s="22">
        <v>0</v>
      </c>
      <c r="K174" s="25">
        <v>0</v>
      </c>
      <c r="L174" s="22">
        <v>4.3036667240488894E-5</v>
      </c>
      <c r="M174" s="25">
        <v>0</v>
      </c>
      <c r="N174" s="19">
        <v>0</v>
      </c>
      <c r="O174" s="19">
        <v>0</v>
      </c>
      <c r="P174" s="16">
        <v>0</v>
      </c>
      <c r="Q174" s="19">
        <v>0</v>
      </c>
      <c r="R174" s="16">
        <v>0</v>
      </c>
      <c r="S174" s="25">
        <v>0</v>
      </c>
      <c r="T174" s="22">
        <v>1.3900121310149615E-4</v>
      </c>
      <c r="U174" s="25">
        <v>0</v>
      </c>
      <c r="V174" s="22">
        <v>0</v>
      </c>
      <c r="W174" s="25">
        <v>4.1211621677313004E-5</v>
      </c>
    </row>
    <row r="175" spans="1:23" x14ac:dyDescent="0.2">
      <c r="A175" s="6" t="s">
        <v>768</v>
      </c>
      <c r="B175" s="19">
        <v>9.717594796128826E-4</v>
      </c>
      <c r="C175" s="16">
        <v>1.038752389130495E-4</v>
      </c>
      <c r="D175" s="19">
        <v>6.1112098063599216E-4</v>
      </c>
      <c r="E175" s="16">
        <v>1.4264850728526305E-4</v>
      </c>
      <c r="F175" s="19">
        <v>2.0064542215644239E-3</v>
      </c>
      <c r="G175" s="16">
        <v>1.5497468746771361E-4</v>
      </c>
      <c r="H175" s="22">
        <v>4.7641734159123395E-4</v>
      </c>
      <c r="I175" s="25">
        <v>3.8635895322480941E-5</v>
      </c>
      <c r="J175" s="22">
        <v>7.3323556859085457E-5</v>
      </c>
      <c r="K175" s="25">
        <v>6.0323333065229637E-5</v>
      </c>
      <c r="L175" s="22">
        <v>7.9925239160907947E-5</v>
      </c>
      <c r="M175" s="25">
        <v>5.9860325906218827E-5</v>
      </c>
      <c r="N175" s="19">
        <v>4.1237606306365531E-4</v>
      </c>
      <c r="O175" s="19">
        <v>7.3463197307929284E-4</v>
      </c>
      <c r="P175" s="16">
        <v>5.8198936899419307E-5</v>
      </c>
      <c r="Q175" s="19">
        <v>6.4052950439029595E-4</v>
      </c>
      <c r="R175" s="16">
        <v>1.8566389122952342E-4</v>
      </c>
      <c r="S175" s="25">
        <v>1.9321555771670734E-5</v>
      </c>
      <c r="T175" s="22">
        <v>0</v>
      </c>
      <c r="U175" s="25">
        <v>4.4563279857397503E-5</v>
      </c>
      <c r="V175" s="22">
        <v>1.8904663780554662E-5</v>
      </c>
      <c r="W175" s="25">
        <v>0</v>
      </c>
    </row>
    <row r="176" spans="1:23" x14ac:dyDescent="0.2">
      <c r="A176" s="6" t="s">
        <v>767</v>
      </c>
      <c r="B176" s="19">
        <v>0</v>
      </c>
      <c r="C176" s="16">
        <v>0</v>
      </c>
      <c r="D176" s="19">
        <v>0</v>
      </c>
      <c r="E176" s="16">
        <v>0</v>
      </c>
      <c r="F176" s="19">
        <v>7.3239393638853498E-4</v>
      </c>
      <c r="G176" s="16">
        <v>0</v>
      </c>
      <c r="H176" s="22">
        <v>3.0673445280531497E-4</v>
      </c>
      <c r="I176" s="25">
        <v>0</v>
      </c>
      <c r="J176" s="22">
        <v>0</v>
      </c>
      <c r="K176" s="25">
        <v>0</v>
      </c>
      <c r="L176" s="22">
        <v>2.2747952684258417E-4</v>
      </c>
      <c r="M176" s="25">
        <v>2.3279015630196209E-4</v>
      </c>
      <c r="N176" s="19">
        <v>0</v>
      </c>
      <c r="O176" s="19">
        <v>0</v>
      </c>
      <c r="P176" s="16">
        <v>0</v>
      </c>
      <c r="Q176" s="19">
        <v>0</v>
      </c>
      <c r="R176" s="16">
        <v>0</v>
      </c>
      <c r="S176" s="25">
        <v>4.5083630133898384E-5</v>
      </c>
      <c r="T176" s="22">
        <v>3.0959361099878687E-4</v>
      </c>
      <c r="U176" s="25">
        <v>1.0185892538833715E-4</v>
      </c>
      <c r="V176" s="22">
        <v>1.3233264646388265E-4</v>
      </c>
      <c r="W176" s="25">
        <v>4.9453946012775605E-5</v>
      </c>
    </row>
    <row r="177" spans="1:23" x14ac:dyDescent="0.2">
      <c r="A177" s="6" t="s">
        <v>766</v>
      </c>
      <c r="B177" s="19">
        <v>0</v>
      </c>
      <c r="C177" s="16">
        <v>0</v>
      </c>
      <c r="D177" s="19">
        <v>0</v>
      </c>
      <c r="E177" s="16">
        <v>0</v>
      </c>
      <c r="F177" s="19">
        <v>0</v>
      </c>
      <c r="G177" s="16">
        <v>0</v>
      </c>
      <c r="H177" s="22">
        <v>0</v>
      </c>
      <c r="I177" s="25">
        <v>0</v>
      </c>
      <c r="J177" s="22">
        <v>0</v>
      </c>
      <c r="K177" s="25">
        <v>0</v>
      </c>
      <c r="L177" s="22">
        <v>0</v>
      </c>
      <c r="M177" s="25">
        <v>0</v>
      </c>
      <c r="N177" s="19">
        <v>0</v>
      </c>
      <c r="O177" s="19">
        <v>0</v>
      </c>
      <c r="P177" s="16">
        <v>0</v>
      </c>
      <c r="Q177" s="19">
        <v>0</v>
      </c>
      <c r="R177" s="16">
        <v>0</v>
      </c>
      <c r="S177" s="25">
        <v>0</v>
      </c>
      <c r="T177" s="22">
        <v>1.8954710877476749E-5</v>
      </c>
      <c r="U177" s="25">
        <v>0</v>
      </c>
      <c r="V177" s="22">
        <v>0</v>
      </c>
      <c r="W177" s="25">
        <v>0</v>
      </c>
    </row>
    <row r="178" spans="1:23" x14ac:dyDescent="0.2">
      <c r="A178" s="6" t="s">
        <v>765</v>
      </c>
      <c r="B178" s="19">
        <v>4.5613200063461843E-4</v>
      </c>
      <c r="C178" s="16">
        <v>2.9916068806958252E-3</v>
      </c>
      <c r="D178" s="19">
        <v>1.8831053473085805E-3</v>
      </c>
      <c r="E178" s="16">
        <v>3.8379241245796963E-3</v>
      </c>
      <c r="F178" s="19">
        <v>5.4166634878735393E-4</v>
      </c>
      <c r="G178" s="16">
        <v>4.2962427247993937E-3</v>
      </c>
      <c r="H178" s="22">
        <v>3.7852336729166526E-4</v>
      </c>
      <c r="I178" s="25">
        <v>5.1514527096641256E-4</v>
      </c>
      <c r="J178" s="22">
        <v>9.3987468337554988E-4</v>
      </c>
      <c r="K178" s="25">
        <v>6.3674629346631277E-4</v>
      </c>
      <c r="L178" s="22">
        <v>2.9510857536335243E-4</v>
      </c>
      <c r="M178" s="25">
        <v>9.3116062520784838E-4</v>
      </c>
      <c r="N178" s="19">
        <v>6.5741111502901572E-4</v>
      </c>
      <c r="O178" s="19">
        <v>3.9733320694503686E-3</v>
      </c>
      <c r="P178" s="16">
        <v>3.7893974470066347E-3</v>
      </c>
      <c r="Q178" s="19">
        <v>6.3786063145533645E-3</v>
      </c>
      <c r="R178" s="16">
        <v>8.2549022408203478E-3</v>
      </c>
      <c r="S178" s="25">
        <v>1.094888160394675E-3</v>
      </c>
      <c r="T178" s="22">
        <v>1.7564698746461785E-3</v>
      </c>
      <c r="U178" s="25">
        <v>1.5151515151515149E-3</v>
      </c>
      <c r="V178" s="22">
        <v>1.2540093641101259E-3</v>
      </c>
      <c r="W178" s="25">
        <v>9.2314032557181129E-4</v>
      </c>
    </row>
    <row r="179" spans="1:23" x14ac:dyDescent="0.2">
      <c r="A179" s="6" t="s">
        <v>764</v>
      </c>
      <c r="B179" s="19">
        <v>0</v>
      </c>
      <c r="C179" s="16">
        <v>0</v>
      </c>
      <c r="D179" s="19">
        <v>2.7003020074613607E-4</v>
      </c>
      <c r="E179" s="16">
        <v>0</v>
      </c>
      <c r="F179" s="19">
        <v>0</v>
      </c>
      <c r="G179" s="16">
        <v>0</v>
      </c>
      <c r="H179" s="22">
        <v>0</v>
      </c>
      <c r="I179" s="25">
        <v>0</v>
      </c>
      <c r="J179" s="22">
        <v>0</v>
      </c>
      <c r="K179" s="25">
        <v>0</v>
      </c>
      <c r="L179" s="22">
        <v>0</v>
      </c>
      <c r="M179" s="25">
        <v>0</v>
      </c>
      <c r="N179" s="19">
        <v>0</v>
      </c>
      <c r="O179" s="19">
        <v>0</v>
      </c>
      <c r="P179" s="16">
        <v>0</v>
      </c>
      <c r="Q179" s="19">
        <v>0</v>
      </c>
      <c r="R179" s="16">
        <v>0</v>
      </c>
      <c r="S179" s="25">
        <v>0</v>
      </c>
      <c r="T179" s="22">
        <v>3.7909421754953497E-5</v>
      </c>
      <c r="U179" s="25">
        <v>0</v>
      </c>
      <c r="V179" s="22">
        <v>0</v>
      </c>
      <c r="W179" s="25">
        <v>0</v>
      </c>
    </row>
    <row r="180" spans="1:23" x14ac:dyDescent="0.2">
      <c r="A180" s="6" t="s">
        <v>763</v>
      </c>
      <c r="B180" s="19">
        <v>2.0162356549791103E-3</v>
      </c>
      <c r="C180" s="16">
        <v>4.4320101936234452E-4</v>
      </c>
      <c r="D180" s="19">
        <v>1.0019541659264525E-3</v>
      </c>
      <c r="E180" s="16">
        <v>7.0644975036511222E-4</v>
      </c>
      <c r="F180" s="19">
        <v>7.4002303989258221E-4</v>
      </c>
      <c r="G180" s="16">
        <v>2.3246203120157042E-4</v>
      </c>
      <c r="H180" s="22">
        <v>1.7425127425323213E-3</v>
      </c>
      <c r="I180" s="25">
        <v>5.795384298372141E-4</v>
      </c>
      <c r="J180" s="22">
        <v>1.666444474070124E-4</v>
      </c>
      <c r="K180" s="25">
        <v>1.2064666613045926E-4</v>
      </c>
      <c r="L180" s="22">
        <v>1.4939871627769718E-3</v>
      </c>
      <c r="M180" s="25">
        <v>9.5111406717658794E-4</v>
      </c>
      <c r="N180" s="19">
        <v>1.6016925347979657E-3</v>
      </c>
      <c r="O180" s="19">
        <v>1.3428756497148363E-4</v>
      </c>
      <c r="P180" s="16">
        <v>2.9099468449709652E-4</v>
      </c>
      <c r="Q180" s="19">
        <v>3.8698657556913714E-4</v>
      </c>
      <c r="R180" s="16">
        <v>1.2853654008197773E-4</v>
      </c>
      <c r="S180" s="25">
        <v>3.2202592952784557E-4</v>
      </c>
      <c r="T180" s="22">
        <v>1.6680145572179539E-3</v>
      </c>
      <c r="U180" s="25">
        <v>9.3582887700534756E-4</v>
      </c>
      <c r="V180" s="22">
        <v>2.9617306589535639E-4</v>
      </c>
      <c r="W180" s="25">
        <v>0</v>
      </c>
    </row>
    <row r="181" spans="1:23" x14ac:dyDescent="0.2">
      <c r="A181" s="6" t="s">
        <v>762</v>
      </c>
      <c r="B181" s="19">
        <v>0</v>
      </c>
      <c r="C181" s="16">
        <v>0</v>
      </c>
      <c r="D181" s="19">
        <v>0</v>
      </c>
      <c r="E181" s="16">
        <v>0</v>
      </c>
      <c r="F181" s="19">
        <v>0</v>
      </c>
      <c r="G181" s="16">
        <v>0</v>
      </c>
      <c r="H181" s="22">
        <v>0</v>
      </c>
      <c r="I181" s="25">
        <v>0</v>
      </c>
      <c r="J181" s="22">
        <v>0</v>
      </c>
      <c r="K181" s="25">
        <v>0</v>
      </c>
      <c r="L181" s="22">
        <v>0</v>
      </c>
      <c r="M181" s="25">
        <v>0</v>
      </c>
      <c r="N181" s="19">
        <v>0</v>
      </c>
      <c r="O181" s="19">
        <v>0</v>
      </c>
      <c r="P181" s="16">
        <v>0</v>
      </c>
      <c r="Q181" s="19">
        <v>0</v>
      </c>
      <c r="R181" s="16">
        <v>0</v>
      </c>
      <c r="S181" s="25">
        <v>1.8677503912615043E-4</v>
      </c>
      <c r="T181" s="22">
        <v>0</v>
      </c>
      <c r="U181" s="25">
        <v>0</v>
      </c>
      <c r="V181" s="22">
        <v>0</v>
      </c>
      <c r="W181" s="25">
        <v>0</v>
      </c>
    </row>
    <row r="182" spans="1:23" x14ac:dyDescent="0.2">
      <c r="A182" s="6" t="s">
        <v>761</v>
      </c>
      <c r="B182" s="19">
        <v>1.3882278280184039E-4</v>
      </c>
      <c r="C182" s="16">
        <v>0</v>
      </c>
      <c r="D182" s="19">
        <v>9.2378752886836034E-5</v>
      </c>
      <c r="E182" s="16">
        <v>0</v>
      </c>
      <c r="F182" s="19">
        <v>0</v>
      </c>
      <c r="G182" s="16">
        <v>0</v>
      </c>
      <c r="H182" s="22">
        <v>9.071508285093358E-4</v>
      </c>
      <c r="I182" s="25">
        <v>1.1590768596744281E-4</v>
      </c>
      <c r="J182" s="22">
        <v>1.2664978002932943E-4</v>
      </c>
      <c r="K182" s="25">
        <v>0</v>
      </c>
      <c r="L182" s="22">
        <v>0</v>
      </c>
      <c r="M182" s="25">
        <v>1.7292983039574327E-4</v>
      </c>
      <c r="N182" s="19">
        <v>1.3148222300580315E-4</v>
      </c>
      <c r="O182" s="19">
        <v>0</v>
      </c>
      <c r="P182" s="16">
        <v>0</v>
      </c>
      <c r="Q182" s="19">
        <v>0</v>
      </c>
      <c r="R182" s="16">
        <v>3.5704594467216042E-5</v>
      </c>
      <c r="S182" s="25">
        <v>1.5457244617336587E-4</v>
      </c>
      <c r="T182" s="22">
        <v>1.7691063485644965E-4</v>
      </c>
      <c r="U182" s="25">
        <v>3.5014005602240897E-4</v>
      </c>
      <c r="V182" s="22">
        <v>5.2302903126201234E-4</v>
      </c>
      <c r="W182" s="25">
        <v>0</v>
      </c>
    </row>
    <row r="183" spans="1:23" x14ac:dyDescent="0.2">
      <c r="A183" s="6" t="s">
        <v>760</v>
      </c>
      <c r="B183" s="19">
        <v>2.5120313078428263E-4</v>
      </c>
      <c r="C183" s="16">
        <v>0</v>
      </c>
      <c r="D183" s="19">
        <v>5.684846331497602E-5</v>
      </c>
      <c r="E183" s="16">
        <v>5.4342288489624017E-5</v>
      </c>
      <c r="F183" s="19">
        <v>1.6173699428580148E-3</v>
      </c>
      <c r="G183" s="16">
        <v>1.2053586803044392E-4</v>
      </c>
      <c r="H183" s="22">
        <v>8.8104576869611761E-4</v>
      </c>
      <c r="I183" s="25">
        <v>7.0832474757881719E-5</v>
      </c>
      <c r="J183" s="22">
        <v>0</v>
      </c>
      <c r="K183" s="25">
        <v>1.0053888844204939E-4</v>
      </c>
      <c r="L183" s="22">
        <v>2.5207190812286356E-4</v>
      </c>
      <c r="M183" s="25">
        <v>2.3279015630196209E-4</v>
      </c>
      <c r="N183" s="19">
        <v>1.6136454641621294E-4</v>
      </c>
      <c r="O183" s="19">
        <v>4.4235903755312258E-4</v>
      </c>
      <c r="P183" s="16">
        <v>0</v>
      </c>
      <c r="Q183" s="19">
        <v>6.9390696308948728E-4</v>
      </c>
      <c r="R183" s="16">
        <v>3.8560962024593325E-4</v>
      </c>
      <c r="S183" s="25">
        <v>1.0304829744891059E-4</v>
      </c>
      <c r="T183" s="22">
        <v>4.5491306105944194E-4</v>
      </c>
      <c r="U183" s="25">
        <v>2.9284441049146932E-4</v>
      </c>
      <c r="V183" s="22">
        <v>9.4523318902773319E-5</v>
      </c>
      <c r="W183" s="25">
        <v>9.0665567690088609E-5</v>
      </c>
    </row>
    <row r="184" spans="1:23" x14ac:dyDescent="0.2">
      <c r="A184" s="6" t="s">
        <v>759</v>
      </c>
      <c r="B184" s="19">
        <v>3.9663652229097259E-5</v>
      </c>
      <c r="C184" s="16">
        <v>0</v>
      </c>
      <c r="D184" s="19">
        <v>0</v>
      </c>
      <c r="E184" s="16">
        <v>1.2227014910165404E-4</v>
      </c>
      <c r="F184" s="19">
        <v>0</v>
      </c>
      <c r="G184" s="16">
        <v>0</v>
      </c>
      <c r="H184" s="22">
        <v>1.2399903411278691E-4</v>
      </c>
      <c r="I184" s="25">
        <v>7.7271790644961881E-5</v>
      </c>
      <c r="J184" s="22">
        <v>0</v>
      </c>
      <c r="K184" s="25">
        <v>7.3728518190836211E-5</v>
      </c>
      <c r="L184" s="22">
        <v>3.50441433243981E-4</v>
      </c>
      <c r="M184" s="25">
        <v>3.059527768540073E-4</v>
      </c>
      <c r="N184" s="19">
        <v>0</v>
      </c>
      <c r="O184" s="19">
        <v>1.0269049086054631E-4</v>
      </c>
      <c r="P184" s="16">
        <v>0</v>
      </c>
      <c r="Q184" s="19">
        <v>5.3377458699191329E-5</v>
      </c>
      <c r="R184" s="16">
        <v>2.8563675573772835E-5</v>
      </c>
      <c r="S184" s="25">
        <v>3.8643111543341467E-5</v>
      </c>
      <c r="T184" s="22">
        <v>2.27456530529721E-4</v>
      </c>
      <c r="U184" s="25">
        <v>2.482811306340718E-4</v>
      </c>
      <c r="V184" s="22">
        <v>0</v>
      </c>
      <c r="W184" s="25">
        <v>2.4726973006387802E-5</v>
      </c>
    </row>
    <row r="185" spans="1:23" x14ac:dyDescent="0.2">
      <c r="A185" s="6" t="s">
        <v>758</v>
      </c>
      <c r="B185" s="19">
        <v>9.4531704479348445E-4</v>
      </c>
      <c r="C185" s="16">
        <v>2.9777568488407514E-3</v>
      </c>
      <c r="D185" s="19">
        <v>6.5446793391366141E-3</v>
      </c>
      <c r="E185" s="16">
        <v>6.2153992460007475E-3</v>
      </c>
      <c r="F185" s="19">
        <v>7.1179535692760757E-3</v>
      </c>
      <c r="G185" s="16">
        <v>2.1179873953920858E-3</v>
      </c>
      <c r="H185" s="22">
        <v>2.0420683038890011E-2</v>
      </c>
      <c r="I185" s="25">
        <v>5.0484236554708423E-3</v>
      </c>
      <c r="J185" s="22">
        <v>7.9256099186775109E-3</v>
      </c>
      <c r="K185" s="25">
        <v>4.5510603501434359E-3</v>
      </c>
      <c r="L185" s="22">
        <v>7.0211248555197593E-3</v>
      </c>
      <c r="M185" s="25">
        <v>1.2630528766212172E-2</v>
      </c>
      <c r="N185" s="19">
        <v>6.0123234701744523E-3</v>
      </c>
      <c r="O185" s="19">
        <v>3.4440810780921693E-3</v>
      </c>
      <c r="P185" s="16">
        <v>8.1931170057293595E-3</v>
      </c>
      <c r="Q185" s="19">
        <v>4.6304945421548485E-3</v>
      </c>
      <c r="R185" s="16">
        <v>4.1845784715577186E-3</v>
      </c>
      <c r="S185" s="25">
        <v>6.240862514249647E-3</v>
      </c>
      <c r="T185" s="22">
        <v>3.0896178730287108E-3</v>
      </c>
      <c r="U185" s="25">
        <v>2.4446142093200924E-3</v>
      </c>
      <c r="V185" s="22">
        <v>1.3226963091794748E-2</v>
      </c>
      <c r="W185" s="25">
        <v>4.6981248712136821E-4</v>
      </c>
    </row>
    <row r="186" spans="1:23" x14ac:dyDescent="0.2">
      <c r="A186" s="6" t="s">
        <v>757</v>
      </c>
      <c r="B186" s="19">
        <v>5.9495478343645881E-5</v>
      </c>
      <c r="C186" s="16">
        <v>8.3100191130439601E-5</v>
      </c>
      <c r="D186" s="19">
        <v>0</v>
      </c>
      <c r="E186" s="16">
        <v>1.1547736304045105E-4</v>
      </c>
      <c r="F186" s="19">
        <v>0</v>
      </c>
      <c r="G186" s="16">
        <v>2.5829114577952269E-4</v>
      </c>
      <c r="H186" s="22">
        <v>9.7893974299568615E-5</v>
      </c>
      <c r="I186" s="25">
        <v>7.0832474757881719E-5</v>
      </c>
      <c r="J186" s="22">
        <v>5.3326223170243967E-5</v>
      </c>
      <c r="K186" s="25">
        <v>0</v>
      </c>
      <c r="L186" s="22">
        <v>3.0740476600349214E-5</v>
      </c>
      <c r="M186" s="25">
        <v>2.660458929165281E-5</v>
      </c>
      <c r="N186" s="19">
        <v>6.2752879161860598E-4</v>
      </c>
      <c r="O186" s="19">
        <v>7.8992685277343313E-5</v>
      </c>
      <c r="P186" s="16">
        <v>1.3579751943197839E-4</v>
      </c>
      <c r="Q186" s="19">
        <v>0</v>
      </c>
      <c r="R186" s="16">
        <v>1.0711378340164812E-4</v>
      </c>
      <c r="S186" s="25">
        <v>0</v>
      </c>
      <c r="T186" s="22">
        <v>0</v>
      </c>
      <c r="U186" s="25">
        <v>6.3661828367710715E-5</v>
      </c>
      <c r="V186" s="22">
        <v>0</v>
      </c>
      <c r="W186" s="25">
        <v>0</v>
      </c>
    </row>
    <row r="187" spans="1:23" x14ac:dyDescent="0.2">
      <c r="A187" s="6" t="s">
        <v>756</v>
      </c>
      <c r="B187" s="19">
        <v>0</v>
      </c>
      <c r="C187" s="16">
        <v>0</v>
      </c>
      <c r="D187" s="19">
        <v>0</v>
      </c>
      <c r="E187" s="16">
        <v>6.792786061203002E-5</v>
      </c>
      <c r="F187" s="19">
        <v>0</v>
      </c>
      <c r="G187" s="16">
        <v>0</v>
      </c>
      <c r="H187" s="22">
        <v>1.6968288878591893E-4</v>
      </c>
      <c r="I187" s="25">
        <v>0</v>
      </c>
      <c r="J187" s="22">
        <v>5.9992001066524464E-5</v>
      </c>
      <c r="K187" s="25">
        <v>0</v>
      </c>
      <c r="L187" s="22">
        <v>0</v>
      </c>
      <c r="M187" s="25">
        <v>0</v>
      </c>
      <c r="N187" s="19">
        <v>0</v>
      </c>
      <c r="O187" s="19">
        <v>0</v>
      </c>
      <c r="P187" s="16">
        <v>0</v>
      </c>
      <c r="Q187" s="19">
        <v>0</v>
      </c>
      <c r="R187" s="16">
        <v>4.9986432254102458E-5</v>
      </c>
      <c r="S187" s="25">
        <v>0</v>
      </c>
      <c r="T187" s="22">
        <v>0</v>
      </c>
      <c r="U187" s="25">
        <v>0</v>
      </c>
      <c r="V187" s="22">
        <v>0</v>
      </c>
      <c r="W187" s="25">
        <v>0</v>
      </c>
    </row>
    <row r="188" spans="1:23" x14ac:dyDescent="0.2">
      <c r="A188" s="6" t="s">
        <v>755</v>
      </c>
      <c r="B188" s="19">
        <v>0</v>
      </c>
      <c r="C188" s="16">
        <v>0</v>
      </c>
      <c r="D188" s="19">
        <v>0</v>
      </c>
      <c r="E188" s="16">
        <v>0</v>
      </c>
      <c r="F188" s="19">
        <v>0</v>
      </c>
      <c r="G188" s="16">
        <v>0</v>
      </c>
      <c r="H188" s="22">
        <v>0</v>
      </c>
      <c r="I188" s="25">
        <v>0</v>
      </c>
      <c r="J188" s="22">
        <v>0</v>
      </c>
      <c r="K188" s="25">
        <v>6.7025925628032924E-5</v>
      </c>
      <c r="L188" s="22">
        <v>0</v>
      </c>
      <c r="M188" s="25">
        <v>0</v>
      </c>
      <c r="N188" s="19">
        <v>0</v>
      </c>
      <c r="O188" s="19">
        <v>0</v>
      </c>
      <c r="P188" s="16">
        <v>0</v>
      </c>
      <c r="Q188" s="19">
        <v>0</v>
      </c>
      <c r="R188" s="16">
        <v>0</v>
      </c>
      <c r="S188" s="25">
        <v>2.5762074362227647E-5</v>
      </c>
      <c r="T188" s="22">
        <v>1.2636473918317832E-5</v>
      </c>
      <c r="U188" s="25">
        <v>3.1830914183855358E-5</v>
      </c>
      <c r="V188" s="22">
        <v>0</v>
      </c>
      <c r="W188" s="25">
        <v>2.4726973006387802E-5</v>
      </c>
    </row>
    <row r="189" spans="1:23" x14ac:dyDescent="0.2">
      <c r="A189" s="6" t="s">
        <v>754</v>
      </c>
      <c r="B189" s="19">
        <v>6.6106087048495428E-6</v>
      </c>
      <c r="C189" s="16">
        <v>0</v>
      </c>
      <c r="D189" s="19">
        <v>0</v>
      </c>
      <c r="E189" s="16">
        <v>0</v>
      </c>
      <c r="F189" s="19">
        <v>0</v>
      </c>
      <c r="G189" s="16">
        <v>0</v>
      </c>
      <c r="H189" s="22">
        <v>0</v>
      </c>
      <c r="I189" s="25">
        <v>0</v>
      </c>
      <c r="J189" s="22">
        <v>0</v>
      </c>
      <c r="K189" s="25">
        <v>0</v>
      </c>
      <c r="L189" s="22">
        <v>6.1480953200698427E-5</v>
      </c>
      <c r="M189" s="25">
        <v>0</v>
      </c>
      <c r="N189" s="19">
        <v>0</v>
      </c>
      <c r="O189" s="19">
        <v>0</v>
      </c>
      <c r="P189" s="16">
        <v>0</v>
      </c>
      <c r="Q189" s="19">
        <v>0</v>
      </c>
      <c r="R189" s="16">
        <v>0</v>
      </c>
      <c r="S189" s="25">
        <v>0</v>
      </c>
      <c r="T189" s="22">
        <v>0</v>
      </c>
      <c r="U189" s="25">
        <v>0</v>
      </c>
      <c r="V189" s="22">
        <v>0</v>
      </c>
      <c r="W189" s="25">
        <v>0</v>
      </c>
    </row>
    <row r="190" spans="1:23" x14ac:dyDescent="0.2">
      <c r="A190" s="6" t="s">
        <v>753</v>
      </c>
      <c r="B190" s="19">
        <v>0</v>
      </c>
      <c r="C190" s="16">
        <v>0</v>
      </c>
      <c r="D190" s="19">
        <v>8.5272694972464023E-5</v>
      </c>
      <c r="E190" s="16">
        <v>8.151343273443603E-5</v>
      </c>
      <c r="F190" s="19">
        <v>0</v>
      </c>
      <c r="G190" s="16">
        <v>0</v>
      </c>
      <c r="H190" s="22">
        <v>1.3705156401939606E-4</v>
      </c>
      <c r="I190" s="25">
        <v>0</v>
      </c>
      <c r="J190" s="22">
        <v>0</v>
      </c>
      <c r="K190" s="25">
        <v>0</v>
      </c>
      <c r="L190" s="22">
        <v>9.2221429801047641E-5</v>
      </c>
      <c r="M190" s="25">
        <v>1.1306950448952444E-4</v>
      </c>
      <c r="N190" s="19">
        <v>0</v>
      </c>
      <c r="O190" s="19">
        <v>0</v>
      </c>
      <c r="P190" s="16">
        <v>6.4665485443799232E-5</v>
      </c>
      <c r="Q190" s="19">
        <v>8.0066188048786993E-5</v>
      </c>
      <c r="R190" s="16">
        <v>3.5704594467216042E-5</v>
      </c>
      <c r="S190" s="25">
        <v>0</v>
      </c>
      <c r="T190" s="22">
        <v>1.0741002830570158E-4</v>
      </c>
      <c r="U190" s="25">
        <v>0</v>
      </c>
      <c r="V190" s="22">
        <v>0</v>
      </c>
      <c r="W190" s="25">
        <v>0</v>
      </c>
    </row>
    <row r="191" spans="1:23" x14ac:dyDescent="0.2">
      <c r="A191" s="6" t="s">
        <v>752</v>
      </c>
      <c r="B191" s="19">
        <v>0</v>
      </c>
      <c r="C191" s="16">
        <v>0</v>
      </c>
      <c r="D191" s="19">
        <v>0</v>
      </c>
      <c r="E191" s="16">
        <v>0</v>
      </c>
      <c r="F191" s="19">
        <v>0</v>
      </c>
      <c r="G191" s="16">
        <v>0</v>
      </c>
      <c r="H191" s="22">
        <v>0</v>
      </c>
      <c r="I191" s="25">
        <v>1.2234700185452296E-4</v>
      </c>
      <c r="J191" s="22">
        <v>0</v>
      </c>
      <c r="K191" s="25">
        <v>0</v>
      </c>
      <c r="L191" s="22">
        <v>0</v>
      </c>
      <c r="M191" s="25">
        <v>0</v>
      </c>
      <c r="N191" s="19">
        <v>0</v>
      </c>
      <c r="O191" s="19">
        <v>0</v>
      </c>
      <c r="P191" s="16">
        <v>0</v>
      </c>
      <c r="Q191" s="19">
        <v>0</v>
      </c>
      <c r="R191" s="16">
        <v>0</v>
      </c>
      <c r="S191" s="25">
        <v>0</v>
      </c>
      <c r="T191" s="22">
        <v>1.9586534573392641E-4</v>
      </c>
      <c r="U191" s="25">
        <v>1.145912910618793E-4</v>
      </c>
      <c r="V191" s="22">
        <v>0</v>
      </c>
      <c r="W191" s="25">
        <v>0</v>
      </c>
    </row>
    <row r="192" spans="1:23" x14ac:dyDescent="0.2">
      <c r="A192" s="6" t="s">
        <v>751</v>
      </c>
      <c r="B192" s="19">
        <v>1.3221217409699086E-5</v>
      </c>
      <c r="C192" s="16">
        <v>0</v>
      </c>
      <c r="D192" s="19">
        <v>0</v>
      </c>
      <c r="E192" s="16">
        <v>0</v>
      </c>
      <c r="F192" s="19">
        <v>0</v>
      </c>
      <c r="G192" s="16">
        <v>0</v>
      </c>
      <c r="H192" s="22">
        <v>3.1326071775861957E-4</v>
      </c>
      <c r="I192" s="25">
        <v>3.28405110241088E-4</v>
      </c>
      <c r="J192" s="22">
        <v>0</v>
      </c>
      <c r="K192" s="25">
        <v>0</v>
      </c>
      <c r="L192" s="22">
        <v>0</v>
      </c>
      <c r="M192" s="25">
        <v>0</v>
      </c>
      <c r="N192" s="19">
        <v>0</v>
      </c>
      <c r="O192" s="19">
        <v>0</v>
      </c>
      <c r="P192" s="16">
        <v>0</v>
      </c>
      <c r="Q192" s="19">
        <v>2.6688729349595664E-5</v>
      </c>
      <c r="R192" s="16">
        <v>0</v>
      </c>
      <c r="S192" s="25">
        <v>9.6607778858353671E-5</v>
      </c>
      <c r="T192" s="22">
        <v>7.5818843509906994E-5</v>
      </c>
      <c r="U192" s="25">
        <v>0</v>
      </c>
      <c r="V192" s="22">
        <v>0</v>
      </c>
      <c r="W192" s="25">
        <v>0</v>
      </c>
    </row>
    <row r="193" spans="1:23" x14ac:dyDescent="0.2">
      <c r="A193" s="6" t="s">
        <v>750</v>
      </c>
      <c r="B193" s="19">
        <v>1.3221217409699086E-5</v>
      </c>
      <c r="C193" s="16">
        <v>0</v>
      </c>
      <c r="D193" s="19">
        <v>0</v>
      </c>
      <c r="E193" s="16">
        <v>0</v>
      </c>
      <c r="F193" s="19">
        <v>0</v>
      </c>
      <c r="G193" s="16">
        <v>0</v>
      </c>
      <c r="H193" s="22">
        <v>0</v>
      </c>
      <c r="I193" s="25">
        <v>0</v>
      </c>
      <c r="J193" s="22">
        <v>0</v>
      </c>
      <c r="K193" s="25">
        <v>0</v>
      </c>
      <c r="L193" s="22">
        <v>0</v>
      </c>
      <c r="M193" s="25">
        <v>0</v>
      </c>
      <c r="N193" s="19">
        <v>0</v>
      </c>
      <c r="O193" s="19">
        <v>0</v>
      </c>
      <c r="P193" s="16">
        <v>0</v>
      </c>
      <c r="Q193" s="19">
        <v>0</v>
      </c>
      <c r="R193" s="16">
        <v>0</v>
      </c>
      <c r="S193" s="25">
        <v>0</v>
      </c>
      <c r="T193" s="22">
        <v>0</v>
      </c>
      <c r="U193" s="25">
        <v>0</v>
      </c>
      <c r="V193" s="22">
        <v>0</v>
      </c>
      <c r="W193" s="25">
        <v>0</v>
      </c>
    </row>
    <row r="194" spans="1:23" x14ac:dyDescent="0.2">
      <c r="A194" s="6" t="s">
        <v>749</v>
      </c>
      <c r="B194" s="19">
        <v>0</v>
      </c>
      <c r="C194" s="16">
        <v>0</v>
      </c>
      <c r="D194" s="19">
        <v>0</v>
      </c>
      <c r="E194" s="16">
        <v>0</v>
      </c>
      <c r="F194" s="19">
        <v>0</v>
      </c>
      <c r="G194" s="16">
        <v>0</v>
      </c>
      <c r="H194" s="22">
        <v>0</v>
      </c>
      <c r="I194" s="25">
        <v>0</v>
      </c>
      <c r="J194" s="22">
        <v>0</v>
      </c>
      <c r="K194" s="25">
        <v>0</v>
      </c>
      <c r="L194" s="22">
        <v>0</v>
      </c>
      <c r="M194" s="25">
        <v>0</v>
      </c>
      <c r="N194" s="19">
        <v>0</v>
      </c>
      <c r="O194" s="19">
        <v>1.8168317613788962E-4</v>
      </c>
      <c r="P194" s="16">
        <v>0</v>
      </c>
      <c r="Q194" s="19">
        <v>0</v>
      </c>
      <c r="R194" s="16">
        <v>0</v>
      </c>
      <c r="S194" s="25">
        <v>0</v>
      </c>
      <c r="T194" s="22">
        <v>0</v>
      </c>
      <c r="U194" s="25">
        <v>0</v>
      </c>
      <c r="V194" s="22">
        <v>0</v>
      </c>
      <c r="W194" s="25">
        <v>0</v>
      </c>
    </row>
    <row r="195" spans="1:23" x14ac:dyDescent="0.2">
      <c r="A195" s="6" t="s">
        <v>748</v>
      </c>
      <c r="B195" s="19">
        <v>0</v>
      </c>
      <c r="C195" s="16">
        <v>0</v>
      </c>
      <c r="D195" s="19">
        <v>0</v>
      </c>
      <c r="E195" s="16">
        <v>0</v>
      </c>
      <c r="F195" s="19">
        <v>0</v>
      </c>
      <c r="G195" s="16">
        <v>0</v>
      </c>
      <c r="H195" s="22">
        <v>0</v>
      </c>
      <c r="I195" s="25">
        <v>0</v>
      </c>
      <c r="J195" s="22">
        <v>0</v>
      </c>
      <c r="K195" s="25">
        <v>0</v>
      </c>
      <c r="L195" s="22">
        <v>0</v>
      </c>
      <c r="M195" s="25">
        <v>0</v>
      </c>
      <c r="N195" s="19">
        <v>0</v>
      </c>
      <c r="O195" s="19">
        <v>0</v>
      </c>
      <c r="P195" s="16">
        <v>0</v>
      </c>
      <c r="Q195" s="19">
        <v>0</v>
      </c>
      <c r="R195" s="16">
        <v>0</v>
      </c>
      <c r="S195" s="25">
        <v>0</v>
      </c>
      <c r="T195" s="22">
        <v>4.4227658714112412E-5</v>
      </c>
      <c r="U195" s="25">
        <v>0</v>
      </c>
      <c r="V195" s="22">
        <v>0</v>
      </c>
      <c r="W195" s="25">
        <v>0</v>
      </c>
    </row>
    <row r="196" spans="1:23" x14ac:dyDescent="0.2">
      <c r="A196" s="6" t="s">
        <v>747</v>
      </c>
      <c r="B196" s="19">
        <v>0</v>
      </c>
      <c r="C196" s="16">
        <v>0</v>
      </c>
      <c r="D196" s="19">
        <v>0</v>
      </c>
      <c r="E196" s="16">
        <v>0</v>
      </c>
      <c r="F196" s="19">
        <v>0</v>
      </c>
      <c r="G196" s="16">
        <v>0</v>
      </c>
      <c r="H196" s="22">
        <v>0</v>
      </c>
      <c r="I196" s="25">
        <v>0</v>
      </c>
      <c r="J196" s="22">
        <v>4.666044527396347E-5</v>
      </c>
      <c r="K196" s="25">
        <v>0</v>
      </c>
      <c r="L196" s="22">
        <v>0</v>
      </c>
      <c r="M196" s="25">
        <v>1.9953441968739608E-5</v>
      </c>
      <c r="N196" s="19">
        <v>0</v>
      </c>
      <c r="O196" s="19">
        <v>0</v>
      </c>
      <c r="P196" s="16">
        <v>0</v>
      </c>
      <c r="Q196" s="19">
        <v>0</v>
      </c>
      <c r="R196" s="16">
        <v>1.4281837786886417E-5</v>
      </c>
      <c r="S196" s="25">
        <v>0</v>
      </c>
      <c r="T196" s="22">
        <v>0</v>
      </c>
      <c r="U196" s="25">
        <v>1.2732365673542144E-5</v>
      </c>
      <c r="V196" s="22">
        <v>0</v>
      </c>
      <c r="W196" s="25">
        <v>0</v>
      </c>
    </row>
    <row r="197" spans="1:23" x14ac:dyDescent="0.2">
      <c r="A197" s="6" t="s">
        <v>746</v>
      </c>
      <c r="B197" s="19">
        <v>4.5613200063461838E-4</v>
      </c>
      <c r="C197" s="16">
        <v>1.8005041411595245E-4</v>
      </c>
      <c r="D197" s="19">
        <v>8.5272694972464023E-5</v>
      </c>
      <c r="E197" s="16">
        <v>4.8908059640661618E-4</v>
      </c>
      <c r="F197" s="19">
        <v>6.2558648733187366E-4</v>
      </c>
      <c r="G197" s="16">
        <v>1.8510865447532456E-3</v>
      </c>
      <c r="H197" s="22">
        <v>1.1747276915948235E-3</v>
      </c>
      <c r="I197" s="25">
        <v>8.9506490830414164E-4</v>
      </c>
      <c r="J197" s="22">
        <v>1.5331289161445139E-3</v>
      </c>
      <c r="K197" s="25">
        <v>2.6140110994932842E-4</v>
      </c>
      <c r="L197" s="22">
        <v>1.7583552615399757E-3</v>
      </c>
      <c r="M197" s="25">
        <v>2.4742268041237111E-3</v>
      </c>
      <c r="N197" s="19">
        <v>8.1279919676314669E-4</v>
      </c>
      <c r="O197" s="19">
        <v>1.9511193263503802E-3</v>
      </c>
      <c r="P197" s="16">
        <v>4.5912494665097451E-4</v>
      </c>
      <c r="Q197" s="19">
        <v>5.6046331634150895E-4</v>
      </c>
      <c r="R197" s="16">
        <v>8.2120567274596883E-4</v>
      </c>
      <c r="S197" s="25">
        <v>5.1524148724455302E-4</v>
      </c>
      <c r="T197" s="22">
        <v>3.778305701577033E-3</v>
      </c>
      <c r="U197" s="25">
        <v>2.3873185637891515E-3</v>
      </c>
      <c r="V197" s="22">
        <v>1.4871668840703005E-3</v>
      </c>
      <c r="W197" s="25">
        <v>8.2423243354626008E-5</v>
      </c>
    </row>
    <row r="198" spans="1:23" x14ac:dyDescent="0.2">
      <c r="A198" s="6" t="s">
        <v>745</v>
      </c>
      <c r="B198" s="19">
        <v>3.3053043524247715E-4</v>
      </c>
      <c r="C198" s="16">
        <v>0</v>
      </c>
      <c r="D198" s="19">
        <v>0</v>
      </c>
      <c r="E198" s="16">
        <v>0</v>
      </c>
      <c r="F198" s="19">
        <v>3.2805145067403129E-4</v>
      </c>
      <c r="G198" s="16">
        <v>0</v>
      </c>
      <c r="H198" s="22">
        <v>1.6315662383261436E-4</v>
      </c>
      <c r="I198" s="25">
        <v>0</v>
      </c>
      <c r="J198" s="22">
        <v>4.666044527396347E-5</v>
      </c>
      <c r="K198" s="25">
        <v>0</v>
      </c>
      <c r="L198" s="22">
        <v>5.84069055406635E-4</v>
      </c>
      <c r="M198" s="25">
        <v>5.3209178583305623E-4</v>
      </c>
      <c r="N198" s="19">
        <v>1.0159989959539334E-4</v>
      </c>
      <c r="O198" s="19">
        <v>0</v>
      </c>
      <c r="P198" s="16">
        <v>0</v>
      </c>
      <c r="Q198" s="19">
        <v>1.2009928207318049E-4</v>
      </c>
      <c r="R198" s="16">
        <v>1.4995929676230737E-4</v>
      </c>
      <c r="S198" s="25">
        <v>0</v>
      </c>
      <c r="T198" s="22">
        <v>9.0350788515972504E-4</v>
      </c>
      <c r="U198" s="25">
        <v>1.846193022663611E-4</v>
      </c>
      <c r="V198" s="22">
        <v>1.0082487349629153E-4</v>
      </c>
      <c r="W198" s="25">
        <v>0</v>
      </c>
    </row>
    <row r="199" spans="1:23" x14ac:dyDescent="0.2">
      <c r="A199" s="6" t="s">
        <v>744</v>
      </c>
      <c r="B199" s="19">
        <v>0</v>
      </c>
      <c r="C199" s="16">
        <v>0</v>
      </c>
      <c r="D199" s="19">
        <v>0</v>
      </c>
      <c r="E199" s="16">
        <v>0</v>
      </c>
      <c r="F199" s="19">
        <v>0</v>
      </c>
      <c r="G199" s="16">
        <v>0</v>
      </c>
      <c r="H199" s="22">
        <v>0</v>
      </c>
      <c r="I199" s="25">
        <v>0</v>
      </c>
      <c r="J199" s="22">
        <v>0</v>
      </c>
      <c r="K199" s="25">
        <v>0</v>
      </c>
      <c r="L199" s="22">
        <v>0</v>
      </c>
      <c r="M199" s="25">
        <v>0</v>
      </c>
      <c r="N199" s="19">
        <v>0</v>
      </c>
      <c r="O199" s="19">
        <v>0</v>
      </c>
      <c r="P199" s="16">
        <v>0</v>
      </c>
      <c r="Q199" s="19">
        <v>0</v>
      </c>
      <c r="R199" s="16">
        <v>0</v>
      </c>
      <c r="S199" s="25">
        <v>0</v>
      </c>
      <c r="T199" s="22">
        <v>1.0741002830570158E-4</v>
      </c>
      <c r="U199" s="25">
        <v>0</v>
      </c>
      <c r="V199" s="22">
        <v>0</v>
      </c>
      <c r="W199" s="25">
        <v>0</v>
      </c>
    </row>
    <row r="200" spans="1:23" x14ac:dyDescent="0.2">
      <c r="A200" s="6" t="s">
        <v>743</v>
      </c>
      <c r="B200" s="19">
        <v>3.7680469617642392E-4</v>
      </c>
      <c r="C200" s="16">
        <v>0</v>
      </c>
      <c r="D200" s="19">
        <v>1.8475750577367204E-4</v>
      </c>
      <c r="E200" s="16">
        <v>8.151343273443603E-5</v>
      </c>
      <c r="F200" s="19">
        <v>0</v>
      </c>
      <c r="G200" s="16">
        <v>0</v>
      </c>
      <c r="H200" s="22">
        <v>1.6315662383261436E-4</v>
      </c>
      <c r="I200" s="25">
        <v>0</v>
      </c>
      <c r="J200" s="22">
        <v>2.3330222636981738E-4</v>
      </c>
      <c r="K200" s="25">
        <v>1.3405185125606585E-4</v>
      </c>
      <c r="L200" s="22">
        <v>2.7666428940314292E-4</v>
      </c>
      <c r="M200" s="25">
        <v>1.5297638842700365E-4</v>
      </c>
      <c r="N200" s="19">
        <v>1.7690335458962606E-3</v>
      </c>
      <c r="O200" s="19">
        <v>8.6891953805077649E-5</v>
      </c>
      <c r="P200" s="16">
        <v>0</v>
      </c>
      <c r="Q200" s="19">
        <v>2.6688729349595664E-5</v>
      </c>
      <c r="R200" s="16">
        <v>0</v>
      </c>
      <c r="S200" s="25">
        <v>7.0845704496126031E-5</v>
      </c>
      <c r="T200" s="22">
        <v>2.1482005661140315E-4</v>
      </c>
      <c r="U200" s="25">
        <v>1.0822510822510823E-4</v>
      </c>
      <c r="V200" s="22">
        <v>1.9534819239906486E-4</v>
      </c>
      <c r="W200" s="25">
        <v>4.9453946012775605E-5</v>
      </c>
    </row>
    <row r="201" spans="1:23" x14ac:dyDescent="0.2">
      <c r="A201" s="6" t="s">
        <v>742</v>
      </c>
      <c r="B201" s="19">
        <v>0</v>
      </c>
      <c r="C201" s="16">
        <v>0</v>
      </c>
      <c r="D201" s="19">
        <v>2.1318173743116006E-5</v>
      </c>
      <c r="E201" s="16">
        <v>3.396393030601501E-5</v>
      </c>
      <c r="F201" s="19">
        <v>0</v>
      </c>
      <c r="G201" s="16">
        <v>0</v>
      </c>
      <c r="H201" s="22">
        <v>1.2399903411278691E-4</v>
      </c>
      <c r="I201" s="25">
        <v>0</v>
      </c>
      <c r="J201" s="22">
        <v>0</v>
      </c>
      <c r="K201" s="25">
        <v>0</v>
      </c>
      <c r="L201" s="22">
        <v>4.3036667240488894E-5</v>
      </c>
      <c r="M201" s="25">
        <v>5.9860325906218821E-5</v>
      </c>
      <c r="N201" s="19">
        <v>0</v>
      </c>
      <c r="O201" s="19">
        <v>0</v>
      </c>
      <c r="P201" s="16">
        <v>0</v>
      </c>
      <c r="Q201" s="19">
        <v>0</v>
      </c>
      <c r="R201" s="16">
        <v>0</v>
      </c>
      <c r="S201" s="25">
        <v>0</v>
      </c>
      <c r="T201" s="22">
        <v>0</v>
      </c>
      <c r="U201" s="25">
        <v>4.4563279857397503E-5</v>
      </c>
      <c r="V201" s="22">
        <v>3.7809327561109323E-5</v>
      </c>
      <c r="W201" s="25">
        <v>4.1211621677313004E-5</v>
      </c>
    </row>
    <row r="202" spans="1:23" x14ac:dyDescent="0.2">
      <c r="A202" s="6" t="s">
        <v>741</v>
      </c>
      <c r="B202" s="19">
        <v>2.2476069596488447E-4</v>
      </c>
      <c r="C202" s="16">
        <v>0</v>
      </c>
      <c r="D202" s="19">
        <v>6.3954521229348018E-5</v>
      </c>
      <c r="E202" s="16">
        <v>0</v>
      </c>
      <c r="F202" s="19">
        <v>5.0352083126711778E-4</v>
      </c>
      <c r="G202" s="16">
        <v>0</v>
      </c>
      <c r="H202" s="22">
        <v>0</v>
      </c>
      <c r="I202" s="25">
        <v>0</v>
      </c>
      <c r="J202" s="22">
        <v>0</v>
      </c>
      <c r="K202" s="25">
        <v>4.0215555376819756E-5</v>
      </c>
      <c r="L202" s="22">
        <v>6.1480953200698427E-5</v>
      </c>
      <c r="M202" s="25">
        <v>0</v>
      </c>
      <c r="N202" s="19">
        <v>7.1717576184983532E-5</v>
      </c>
      <c r="O202" s="19">
        <v>1.1848902791601498E-4</v>
      </c>
      <c r="P202" s="16">
        <v>1.9399645633139767E-5</v>
      </c>
      <c r="Q202" s="19">
        <v>0</v>
      </c>
      <c r="R202" s="16">
        <v>0</v>
      </c>
      <c r="S202" s="25">
        <v>0</v>
      </c>
      <c r="T202" s="22">
        <v>0</v>
      </c>
      <c r="U202" s="25">
        <v>0</v>
      </c>
      <c r="V202" s="22">
        <v>0</v>
      </c>
      <c r="W202" s="25">
        <v>0</v>
      </c>
    </row>
    <row r="203" spans="1:23" x14ac:dyDescent="0.2">
      <c r="A203" s="6" t="s">
        <v>740</v>
      </c>
      <c r="B203" s="19">
        <v>0</v>
      </c>
      <c r="C203" s="16">
        <v>0</v>
      </c>
      <c r="D203" s="19">
        <v>1.7054538994492805E-4</v>
      </c>
      <c r="E203" s="16">
        <v>0</v>
      </c>
      <c r="F203" s="19">
        <v>0</v>
      </c>
      <c r="G203" s="16">
        <v>1.7219409718634846E-5</v>
      </c>
      <c r="H203" s="22">
        <v>1.5010409392600521E-4</v>
      </c>
      <c r="I203" s="25">
        <v>1.1590768596744281E-4</v>
      </c>
      <c r="J203" s="22">
        <v>1.3331555792560992E-5</v>
      </c>
      <c r="K203" s="25">
        <v>0</v>
      </c>
      <c r="L203" s="22">
        <v>1.4140619236160639E-4</v>
      </c>
      <c r="M203" s="25">
        <v>7.9813767874958432E-5</v>
      </c>
      <c r="N203" s="19">
        <v>0</v>
      </c>
      <c r="O203" s="19">
        <v>0</v>
      </c>
      <c r="P203" s="16">
        <v>0</v>
      </c>
      <c r="Q203" s="19">
        <v>1.0675491739838266E-4</v>
      </c>
      <c r="R203" s="16">
        <v>3.5704594467216042E-5</v>
      </c>
      <c r="S203" s="25">
        <v>1.2881037181113824E-5</v>
      </c>
      <c r="T203" s="22">
        <v>1.7059239789729073E-4</v>
      </c>
      <c r="U203" s="25">
        <v>2.1008403361344536E-4</v>
      </c>
      <c r="V203" s="22">
        <v>2.5206218374072882E-5</v>
      </c>
      <c r="W203" s="25">
        <v>0</v>
      </c>
    </row>
    <row r="204" spans="1:23" x14ac:dyDescent="0.2">
      <c r="A204" s="6" t="s">
        <v>739</v>
      </c>
      <c r="B204" s="19">
        <v>0</v>
      </c>
      <c r="C204" s="16">
        <v>0</v>
      </c>
      <c r="D204" s="19">
        <v>0</v>
      </c>
      <c r="E204" s="16">
        <v>0</v>
      </c>
      <c r="F204" s="19">
        <v>0</v>
      </c>
      <c r="G204" s="16">
        <v>0</v>
      </c>
      <c r="H204" s="22">
        <v>0</v>
      </c>
      <c r="I204" s="25">
        <v>4.5075211209561096E-5</v>
      </c>
      <c r="J204" s="22">
        <v>0</v>
      </c>
      <c r="K204" s="25">
        <v>0</v>
      </c>
      <c r="L204" s="22">
        <v>0</v>
      </c>
      <c r="M204" s="25">
        <v>0</v>
      </c>
      <c r="N204" s="19">
        <v>0</v>
      </c>
      <c r="O204" s="19">
        <v>0</v>
      </c>
      <c r="P204" s="16">
        <v>0</v>
      </c>
      <c r="Q204" s="19">
        <v>0</v>
      </c>
      <c r="R204" s="16">
        <v>0</v>
      </c>
      <c r="S204" s="25">
        <v>7.0845704496126031E-5</v>
      </c>
      <c r="T204" s="22">
        <v>0</v>
      </c>
      <c r="U204" s="25">
        <v>0</v>
      </c>
      <c r="V204" s="22">
        <v>0</v>
      </c>
      <c r="W204" s="25">
        <v>0</v>
      </c>
    </row>
    <row r="205" spans="1:23" x14ac:dyDescent="0.2">
      <c r="A205" s="6" t="s">
        <v>738</v>
      </c>
      <c r="B205" s="19">
        <v>7.9327304458194517E-5</v>
      </c>
      <c r="C205" s="16">
        <v>0</v>
      </c>
      <c r="D205" s="19">
        <v>2.6292414283176409E-4</v>
      </c>
      <c r="E205" s="16">
        <v>5.4342288489624017E-5</v>
      </c>
      <c r="F205" s="19">
        <v>2.5176041563355889E-4</v>
      </c>
      <c r="G205" s="16">
        <v>3.4438819437269692E-4</v>
      </c>
      <c r="H205" s="22">
        <v>1.762091537392235E-3</v>
      </c>
      <c r="I205" s="25">
        <v>1.8674016072532453E-4</v>
      </c>
      <c r="J205" s="22">
        <v>3.8661511798426877E-4</v>
      </c>
      <c r="K205" s="25">
        <v>6.5685407115472264E-4</v>
      </c>
      <c r="L205" s="22">
        <v>4.1807048176474928E-4</v>
      </c>
      <c r="M205" s="25">
        <v>1.3967409378117725E-4</v>
      </c>
      <c r="N205" s="19">
        <v>3.2870555751450791E-4</v>
      </c>
      <c r="O205" s="19">
        <v>8.4522173246757352E-4</v>
      </c>
      <c r="P205" s="16">
        <v>1.9399645633139767E-5</v>
      </c>
      <c r="Q205" s="19">
        <v>0</v>
      </c>
      <c r="R205" s="16">
        <v>3.5704594467216042E-5</v>
      </c>
      <c r="S205" s="25">
        <v>2.8982333657506104E-4</v>
      </c>
      <c r="T205" s="22">
        <v>1.6427416093813183E-4</v>
      </c>
      <c r="U205" s="25">
        <v>3.6287242169595109E-4</v>
      </c>
      <c r="V205" s="22">
        <v>6.8056789609996775E-4</v>
      </c>
      <c r="W205" s="25">
        <v>3.9563156810220484E-4</v>
      </c>
    </row>
    <row r="206" spans="1:23" x14ac:dyDescent="0.2">
      <c r="A206" s="6" t="s">
        <v>737</v>
      </c>
      <c r="B206" s="19">
        <v>0</v>
      </c>
      <c r="C206" s="16">
        <v>0</v>
      </c>
      <c r="D206" s="19">
        <v>0</v>
      </c>
      <c r="E206" s="16">
        <v>0</v>
      </c>
      <c r="F206" s="19">
        <v>0</v>
      </c>
      <c r="G206" s="16">
        <v>0</v>
      </c>
      <c r="H206" s="22">
        <v>0</v>
      </c>
      <c r="I206" s="25">
        <v>0</v>
      </c>
      <c r="J206" s="22">
        <v>0</v>
      </c>
      <c r="K206" s="25">
        <v>0</v>
      </c>
      <c r="L206" s="22">
        <v>0</v>
      </c>
      <c r="M206" s="25">
        <v>0</v>
      </c>
      <c r="N206" s="19">
        <v>0</v>
      </c>
      <c r="O206" s="19">
        <v>0</v>
      </c>
      <c r="P206" s="16">
        <v>0</v>
      </c>
      <c r="Q206" s="19">
        <v>0</v>
      </c>
      <c r="R206" s="16">
        <v>0</v>
      </c>
      <c r="S206" s="25">
        <v>0</v>
      </c>
      <c r="T206" s="22">
        <v>1.8954710877476749E-5</v>
      </c>
      <c r="U206" s="25">
        <v>0</v>
      </c>
      <c r="V206" s="22">
        <v>0</v>
      </c>
      <c r="W206" s="25">
        <v>0</v>
      </c>
    </row>
    <row r="207" spans="1:23" x14ac:dyDescent="0.2">
      <c r="A207" s="6" t="s">
        <v>736</v>
      </c>
      <c r="B207" s="19">
        <v>8.5937913163044056E-5</v>
      </c>
      <c r="C207" s="16">
        <v>0</v>
      </c>
      <c r="D207" s="19">
        <v>0</v>
      </c>
      <c r="E207" s="16">
        <v>0</v>
      </c>
      <c r="F207" s="19">
        <v>9.1549242048566873E-5</v>
      </c>
      <c r="G207" s="16">
        <v>1.5497468746771361E-4</v>
      </c>
      <c r="H207" s="22">
        <v>3.2631324766522872E-5</v>
      </c>
      <c r="I207" s="25">
        <v>0</v>
      </c>
      <c r="J207" s="22">
        <v>0</v>
      </c>
      <c r="K207" s="25">
        <v>0</v>
      </c>
      <c r="L207" s="22">
        <v>2.459238128027937E-5</v>
      </c>
      <c r="M207" s="25">
        <v>4.6558031260392418E-5</v>
      </c>
      <c r="N207" s="19">
        <v>0</v>
      </c>
      <c r="O207" s="19">
        <v>0</v>
      </c>
      <c r="P207" s="16">
        <v>0</v>
      </c>
      <c r="Q207" s="19">
        <v>1.0675491739838266E-4</v>
      </c>
      <c r="R207" s="16">
        <v>4.2845513360659247E-5</v>
      </c>
      <c r="S207" s="25">
        <v>0</v>
      </c>
      <c r="T207" s="22">
        <v>1.8322887181560857E-4</v>
      </c>
      <c r="U207" s="25">
        <v>5.7295645530939649E-5</v>
      </c>
      <c r="V207" s="22">
        <v>0</v>
      </c>
      <c r="W207" s="25">
        <v>0</v>
      </c>
    </row>
    <row r="208" spans="1:23" x14ac:dyDescent="0.2">
      <c r="A208" s="6" t="s">
        <v>735</v>
      </c>
      <c r="B208" s="19">
        <v>0</v>
      </c>
      <c r="C208" s="16">
        <v>0</v>
      </c>
      <c r="D208" s="19">
        <v>2.842423165748801E-5</v>
      </c>
      <c r="E208" s="16">
        <v>0</v>
      </c>
      <c r="F208" s="19">
        <v>0</v>
      </c>
      <c r="G208" s="16">
        <v>0</v>
      </c>
      <c r="H208" s="22">
        <v>0</v>
      </c>
      <c r="I208" s="25">
        <v>0</v>
      </c>
      <c r="J208" s="22">
        <v>0</v>
      </c>
      <c r="K208" s="25">
        <v>0</v>
      </c>
      <c r="L208" s="22">
        <v>0</v>
      </c>
      <c r="M208" s="25">
        <v>0</v>
      </c>
      <c r="N208" s="19">
        <v>0</v>
      </c>
      <c r="O208" s="19">
        <v>0</v>
      </c>
      <c r="P208" s="16">
        <v>0</v>
      </c>
      <c r="Q208" s="19">
        <v>4.0033094024393497E-5</v>
      </c>
      <c r="R208" s="16">
        <v>0</v>
      </c>
      <c r="S208" s="25">
        <v>0</v>
      </c>
      <c r="T208" s="22">
        <v>3.1591184795794582E-5</v>
      </c>
      <c r="U208" s="25">
        <v>4.4563279857397503E-5</v>
      </c>
      <c r="V208" s="22">
        <v>0</v>
      </c>
      <c r="W208" s="25">
        <v>0</v>
      </c>
    </row>
    <row r="209" spans="1:23" x14ac:dyDescent="0.2">
      <c r="A209" s="6" t="s">
        <v>734</v>
      </c>
      <c r="B209" s="19">
        <v>3.3053043524247713E-5</v>
      </c>
      <c r="C209" s="16">
        <v>0</v>
      </c>
      <c r="D209" s="19">
        <v>1.5633327411618405E-4</v>
      </c>
      <c r="E209" s="16">
        <v>0</v>
      </c>
      <c r="F209" s="19">
        <v>0</v>
      </c>
      <c r="G209" s="16">
        <v>0</v>
      </c>
      <c r="H209" s="22">
        <v>5.2210119626436595E-5</v>
      </c>
      <c r="I209" s="25">
        <v>0</v>
      </c>
      <c r="J209" s="22">
        <v>0</v>
      </c>
      <c r="K209" s="25">
        <v>0</v>
      </c>
      <c r="L209" s="22">
        <v>6.7629048520768267E-5</v>
      </c>
      <c r="M209" s="25">
        <v>8.6464915197871634E-5</v>
      </c>
      <c r="N209" s="19">
        <v>0</v>
      </c>
      <c r="O209" s="19">
        <v>0</v>
      </c>
      <c r="P209" s="16">
        <v>0</v>
      </c>
      <c r="Q209" s="19">
        <v>2.6688729349595664E-5</v>
      </c>
      <c r="R209" s="16">
        <v>0</v>
      </c>
      <c r="S209" s="25">
        <v>0</v>
      </c>
      <c r="T209" s="22">
        <v>2.4009300444803881E-4</v>
      </c>
      <c r="U209" s="25">
        <v>0</v>
      </c>
      <c r="V209" s="22">
        <v>0</v>
      </c>
      <c r="W209" s="25">
        <v>0</v>
      </c>
    </row>
    <row r="210" spans="1:23" x14ac:dyDescent="0.2">
      <c r="A210" s="6" t="s">
        <v>733</v>
      </c>
      <c r="B210" s="19">
        <v>1.1899095668729176E-4</v>
      </c>
      <c r="C210" s="16">
        <v>0</v>
      </c>
      <c r="D210" s="19">
        <v>0</v>
      </c>
      <c r="E210" s="16">
        <v>8.151343273443603E-5</v>
      </c>
      <c r="F210" s="19">
        <v>1.2969475956880306E-4</v>
      </c>
      <c r="G210" s="16">
        <v>0</v>
      </c>
      <c r="H210" s="22">
        <v>7.7009926448993972E-4</v>
      </c>
      <c r="I210" s="25">
        <v>0</v>
      </c>
      <c r="J210" s="22">
        <v>0</v>
      </c>
      <c r="K210" s="25">
        <v>0</v>
      </c>
      <c r="L210" s="22">
        <v>6.1480953200698427E-4</v>
      </c>
      <c r="M210" s="25">
        <v>2.7934818756235449E-4</v>
      </c>
      <c r="N210" s="19">
        <v>0</v>
      </c>
      <c r="O210" s="19">
        <v>0</v>
      </c>
      <c r="P210" s="16">
        <v>0</v>
      </c>
      <c r="Q210" s="19">
        <v>1.7347674077237182E-4</v>
      </c>
      <c r="R210" s="16">
        <v>0</v>
      </c>
      <c r="S210" s="25">
        <v>3.8643111543341467E-5</v>
      </c>
      <c r="T210" s="22">
        <v>3.4118479579458145E-4</v>
      </c>
      <c r="U210" s="25">
        <v>1.3368983957219252E-4</v>
      </c>
      <c r="V210" s="22">
        <v>0</v>
      </c>
      <c r="W210" s="25">
        <v>0</v>
      </c>
    </row>
    <row r="211" spans="1:23" x14ac:dyDescent="0.2">
      <c r="A211" s="6" t="s">
        <v>732</v>
      </c>
      <c r="B211" s="19">
        <v>0</v>
      </c>
      <c r="C211" s="16">
        <v>0</v>
      </c>
      <c r="D211" s="19">
        <v>1.0659086871558004E-4</v>
      </c>
      <c r="E211" s="16">
        <v>0</v>
      </c>
      <c r="F211" s="19">
        <v>0</v>
      </c>
      <c r="G211" s="16">
        <v>0</v>
      </c>
      <c r="H211" s="22">
        <v>8.614669738362037E-4</v>
      </c>
      <c r="I211" s="25">
        <v>0</v>
      </c>
      <c r="J211" s="22">
        <v>0</v>
      </c>
      <c r="K211" s="25">
        <v>3.3512962814016462E-5</v>
      </c>
      <c r="L211" s="22">
        <v>1.16813811081327E-4</v>
      </c>
      <c r="M211" s="25">
        <v>3.9906883937479216E-5</v>
      </c>
      <c r="N211" s="19">
        <v>5.9764646820819613E-4</v>
      </c>
      <c r="O211" s="19">
        <v>4.7395611166405993E-4</v>
      </c>
      <c r="P211" s="16">
        <v>0</v>
      </c>
      <c r="Q211" s="19">
        <v>8.0066188048786993E-5</v>
      </c>
      <c r="R211" s="16">
        <v>0</v>
      </c>
      <c r="S211" s="25">
        <v>0</v>
      </c>
      <c r="T211" s="22">
        <v>3.7909421754953499E-4</v>
      </c>
      <c r="U211" s="25">
        <v>3.819709702062643E-5</v>
      </c>
      <c r="V211" s="22">
        <v>1.2603109187036441E-5</v>
      </c>
      <c r="W211" s="25">
        <v>0</v>
      </c>
    </row>
    <row r="212" spans="1:23" x14ac:dyDescent="0.2">
      <c r="A212" s="6" t="s">
        <v>731</v>
      </c>
      <c r="B212" s="19">
        <v>2.4459252207943309E-4</v>
      </c>
      <c r="C212" s="16">
        <v>0</v>
      </c>
      <c r="D212" s="19">
        <v>9.9484810801208032E-5</v>
      </c>
      <c r="E212" s="16">
        <v>1.7661243759127806E-4</v>
      </c>
      <c r="F212" s="19">
        <v>1.7546938059308651E-3</v>
      </c>
      <c r="G212" s="16">
        <v>3.0994937493542722E-4</v>
      </c>
      <c r="H212" s="22">
        <v>6.2652143551723914E-4</v>
      </c>
      <c r="I212" s="25">
        <v>0</v>
      </c>
      <c r="J212" s="22">
        <v>1.3998133582189041E-4</v>
      </c>
      <c r="K212" s="25">
        <v>4.6918147939623043E-5</v>
      </c>
      <c r="L212" s="22">
        <v>1.7829476428202543E-4</v>
      </c>
      <c r="M212" s="25">
        <v>0</v>
      </c>
      <c r="N212" s="19">
        <v>1.1952929364163923E-4</v>
      </c>
      <c r="O212" s="19">
        <v>4.3445976902538823E-4</v>
      </c>
      <c r="P212" s="16">
        <v>5.1732388355039383E-5</v>
      </c>
      <c r="Q212" s="19">
        <v>6.8056259841468944E-4</v>
      </c>
      <c r="R212" s="16">
        <v>2.1422756680329624E-4</v>
      </c>
      <c r="S212" s="25">
        <v>0</v>
      </c>
      <c r="T212" s="22">
        <v>4.1700363930448846E-4</v>
      </c>
      <c r="U212" s="25">
        <v>0</v>
      </c>
      <c r="V212" s="22">
        <v>8.8221764309255095E-5</v>
      </c>
      <c r="W212" s="25">
        <v>0</v>
      </c>
    </row>
    <row r="213" spans="1:23" x14ac:dyDescent="0.2">
      <c r="A213" s="6" t="s">
        <v>730</v>
      </c>
      <c r="B213" s="19">
        <v>9.5126659262784897E-3</v>
      </c>
      <c r="C213" s="16">
        <v>7.2781917398410025E-3</v>
      </c>
      <c r="D213" s="19">
        <v>6.5446793391366141E-3</v>
      </c>
      <c r="E213" s="16">
        <v>8.1920999898108214E-3</v>
      </c>
      <c r="F213" s="19">
        <v>8.605628752565285E-3</v>
      </c>
      <c r="G213" s="16">
        <v>1.5592175500223853E-2</v>
      </c>
      <c r="H213" s="22">
        <v>4.2747035444144956E-3</v>
      </c>
      <c r="I213" s="25">
        <v>1.1333195961261077E-3</v>
      </c>
      <c r="J213" s="22">
        <v>4.6393814158112246E-3</v>
      </c>
      <c r="K213" s="25">
        <v>1.3003029571838386E-3</v>
      </c>
      <c r="L213" s="22">
        <v>3.3138233775176448E-3</v>
      </c>
      <c r="M213" s="25">
        <v>3.3787828400399073E-3</v>
      </c>
      <c r="N213" s="19">
        <v>1.1749729564973136E-2</v>
      </c>
      <c r="O213" s="19">
        <v>1.2164873532710873E-2</v>
      </c>
      <c r="P213" s="16">
        <v>1.098666597690149E-2</v>
      </c>
      <c r="Q213" s="19">
        <v>1.188982892524487E-2</v>
      </c>
      <c r="R213" s="16">
        <v>1.4460360759222492E-2</v>
      </c>
      <c r="S213" s="25">
        <v>1.9836797258915287E-3</v>
      </c>
      <c r="T213" s="22">
        <v>2.5588859684593612E-3</v>
      </c>
      <c r="U213" s="25">
        <v>2.9984721161191753E-3</v>
      </c>
      <c r="V213" s="22">
        <v>4.3165648965599818E-3</v>
      </c>
      <c r="W213" s="25">
        <v>1.590768596744282E-3</v>
      </c>
    </row>
    <row r="214" spans="1:23" x14ac:dyDescent="0.2">
      <c r="A214" s="6" t="s">
        <v>729</v>
      </c>
      <c r="B214" s="19">
        <v>0</v>
      </c>
      <c r="C214" s="16">
        <v>0</v>
      </c>
      <c r="D214" s="19">
        <v>0</v>
      </c>
      <c r="E214" s="16">
        <v>0</v>
      </c>
      <c r="F214" s="19">
        <v>0</v>
      </c>
      <c r="G214" s="16">
        <v>6.026793401522196E-5</v>
      </c>
      <c r="H214" s="22">
        <v>0</v>
      </c>
      <c r="I214" s="25">
        <v>0</v>
      </c>
      <c r="J214" s="22">
        <v>4.666044527396347E-5</v>
      </c>
      <c r="K214" s="25">
        <v>0</v>
      </c>
      <c r="L214" s="22">
        <v>0</v>
      </c>
      <c r="M214" s="25">
        <v>0</v>
      </c>
      <c r="N214" s="19">
        <v>0</v>
      </c>
      <c r="O214" s="19">
        <v>0</v>
      </c>
      <c r="P214" s="16">
        <v>0</v>
      </c>
      <c r="Q214" s="19">
        <v>1.3344364674797832E-5</v>
      </c>
      <c r="R214" s="16">
        <v>4.2845513360659247E-5</v>
      </c>
      <c r="S214" s="25">
        <v>0</v>
      </c>
      <c r="T214" s="22">
        <v>0</v>
      </c>
      <c r="U214" s="25">
        <v>0</v>
      </c>
      <c r="V214" s="22">
        <v>0</v>
      </c>
      <c r="W214" s="25">
        <v>0</v>
      </c>
    </row>
    <row r="215" spans="1:23" x14ac:dyDescent="0.2">
      <c r="A215" s="6" t="s">
        <v>728</v>
      </c>
      <c r="B215" s="19">
        <v>0</v>
      </c>
      <c r="C215" s="16">
        <v>0</v>
      </c>
      <c r="D215" s="19">
        <v>0</v>
      </c>
      <c r="E215" s="16">
        <v>0</v>
      </c>
      <c r="F215" s="19">
        <v>0</v>
      </c>
      <c r="G215" s="16">
        <v>0</v>
      </c>
      <c r="H215" s="22">
        <v>0</v>
      </c>
      <c r="I215" s="25">
        <v>0</v>
      </c>
      <c r="J215" s="22">
        <v>0</v>
      </c>
      <c r="K215" s="25">
        <v>0</v>
      </c>
      <c r="L215" s="22">
        <v>0</v>
      </c>
      <c r="M215" s="25">
        <v>0</v>
      </c>
      <c r="N215" s="19">
        <v>0</v>
      </c>
      <c r="O215" s="19">
        <v>0</v>
      </c>
      <c r="P215" s="16">
        <v>1.2933097088759846E-5</v>
      </c>
      <c r="Q215" s="19">
        <v>0</v>
      </c>
      <c r="R215" s="16">
        <v>0</v>
      </c>
      <c r="S215" s="25">
        <v>1.2881037181113824E-5</v>
      </c>
      <c r="T215" s="22">
        <v>0</v>
      </c>
      <c r="U215" s="25">
        <v>0</v>
      </c>
      <c r="V215" s="22">
        <v>0</v>
      </c>
      <c r="W215" s="25">
        <v>0</v>
      </c>
    </row>
    <row r="216" spans="1:23" x14ac:dyDescent="0.2">
      <c r="A216" s="6" t="s">
        <v>727</v>
      </c>
      <c r="B216" s="19">
        <v>0</v>
      </c>
      <c r="C216" s="16">
        <v>0</v>
      </c>
      <c r="D216" s="19">
        <v>7.8166637058092026E-5</v>
      </c>
      <c r="E216" s="16">
        <v>0</v>
      </c>
      <c r="F216" s="19">
        <v>0</v>
      </c>
      <c r="G216" s="16">
        <v>1.8080380204566588E-4</v>
      </c>
      <c r="H216" s="22">
        <v>1.9578794859913723E-4</v>
      </c>
      <c r="I216" s="25">
        <v>4.5075211209561096E-5</v>
      </c>
      <c r="J216" s="22">
        <v>2.5996533795493934E-4</v>
      </c>
      <c r="K216" s="25">
        <v>0</v>
      </c>
      <c r="L216" s="22">
        <v>0</v>
      </c>
      <c r="M216" s="25">
        <v>1.0641835716661124E-4</v>
      </c>
      <c r="N216" s="19">
        <v>7.7694040867065501E-5</v>
      </c>
      <c r="O216" s="19">
        <v>0</v>
      </c>
      <c r="P216" s="16">
        <v>0</v>
      </c>
      <c r="Q216" s="19">
        <v>0</v>
      </c>
      <c r="R216" s="16">
        <v>8.5691026721318494E-5</v>
      </c>
      <c r="S216" s="25">
        <v>9.6607778858353671E-5</v>
      </c>
      <c r="T216" s="22">
        <v>1.7691063485644965E-4</v>
      </c>
      <c r="U216" s="25">
        <v>7.0028011204481788E-5</v>
      </c>
      <c r="V216" s="22">
        <v>1.3863420105740087E-4</v>
      </c>
      <c r="W216" s="25">
        <v>0</v>
      </c>
    </row>
    <row r="217" spans="1:23" x14ac:dyDescent="0.2">
      <c r="A217" s="6" t="s">
        <v>726</v>
      </c>
      <c r="B217" s="19">
        <v>0</v>
      </c>
      <c r="C217" s="16">
        <v>0</v>
      </c>
      <c r="D217" s="19">
        <v>0</v>
      </c>
      <c r="E217" s="16">
        <v>0</v>
      </c>
      <c r="F217" s="19">
        <v>0</v>
      </c>
      <c r="G217" s="16">
        <v>0</v>
      </c>
      <c r="H217" s="22">
        <v>2.6105059813218297E-5</v>
      </c>
      <c r="I217" s="25">
        <v>2.9620853080568723E-4</v>
      </c>
      <c r="J217" s="22">
        <v>0</v>
      </c>
      <c r="K217" s="25">
        <v>0</v>
      </c>
      <c r="L217" s="22">
        <v>3.1970095664363179E-4</v>
      </c>
      <c r="M217" s="25">
        <v>2.1283671433322248E-4</v>
      </c>
      <c r="N217" s="19">
        <v>0</v>
      </c>
      <c r="O217" s="19">
        <v>0</v>
      </c>
      <c r="P217" s="16">
        <v>0</v>
      </c>
      <c r="Q217" s="19">
        <v>0</v>
      </c>
      <c r="R217" s="16">
        <v>0</v>
      </c>
      <c r="S217" s="25">
        <v>2.4473970644116262E-4</v>
      </c>
      <c r="T217" s="22">
        <v>2.9695713708046908E-4</v>
      </c>
      <c r="U217" s="25">
        <v>2.291825821237586E-4</v>
      </c>
      <c r="V217" s="22">
        <v>1.7644352861851019E-4</v>
      </c>
      <c r="W217" s="25">
        <v>2.2254275705749021E-4</v>
      </c>
    </row>
    <row r="218" spans="1:23" x14ac:dyDescent="0.2">
      <c r="A218" s="6" t="s">
        <v>725</v>
      </c>
      <c r="B218" s="19">
        <v>0</v>
      </c>
      <c r="C218" s="16">
        <v>0</v>
      </c>
      <c r="D218" s="19">
        <v>0</v>
      </c>
      <c r="E218" s="16">
        <v>0</v>
      </c>
      <c r="F218" s="19">
        <v>0</v>
      </c>
      <c r="G218" s="16">
        <v>0</v>
      </c>
      <c r="H218" s="22">
        <v>0</v>
      </c>
      <c r="I218" s="25">
        <v>0</v>
      </c>
      <c r="J218" s="22">
        <v>0</v>
      </c>
      <c r="K218" s="25">
        <v>0</v>
      </c>
      <c r="L218" s="22">
        <v>0</v>
      </c>
      <c r="M218" s="25">
        <v>0</v>
      </c>
      <c r="N218" s="19">
        <v>0</v>
      </c>
      <c r="O218" s="19">
        <v>0</v>
      </c>
      <c r="P218" s="16">
        <v>0</v>
      </c>
      <c r="Q218" s="19">
        <v>2.6688729349595664E-5</v>
      </c>
      <c r="R218" s="16">
        <v>1.4281837786886417E-5</v>
      </c>
      <c r="S218" s="25">
        <v>0</v>
      </c>
      <c r="T218" s="22">
        <v>0</v>
      </c>
      <c r="U218" s="25">
        <v>0</v>
      </c>
      <c r="V218" s="22">
        <v>0</v>
      </c>
      <c r="W218" s="25">
        <v>0</v>
      </c>
    </row>
    <row r="219" spans="1:23" x14ac:dyDescent="0.2">
      <c r="A219" s="6" t="s">
        <v>724</v>
      </c>
      <c r="B219" s="19">
        <v>9.9159130572743146E-5</v>
      </c>
      <c r="C219" s="16">
        <v>0</v>
      </c>
      <c r="D219" s="19">
        <v>1.2080298454432404E-4</v>
      </c>
      <c r="E219" s="16">
        <v>4.754950242842102E-5</v>
      </c>
      <c r="F219" s="19">
        <v>1.0680744905666136E-4</v>
      </c>
      <c r="G219" s="16">
        <v>0</v>
      </c>
      <c r="H219" s="22">
        <v>1.442304554680311E-3</v>
      </c>
      <c r="I219" s="25">
        <v>5.7953842983721407E-5</v>
      </c>
      <c r="J219" s="22">
        <v>9.9986668444207444E-5</v>
      </c>
      <c r="K219" s="25">
        <v>0</v>
      </c>
      <c r="L219" s="22">
        <v>3.4429333792391115E-4</v>
      </c>
      <c r="M219" s="25">
        <v>2.3944130362487528E-4</v>
      </c>
      <c r="N219" s="19">
        <v>0</v>
      </c>
      <c r="O219" s="19">
        <v>3.1597074110937325E-4</v>
      </c>
      <c r="P219" s="16">
        <v>0</v>
      </c>
      <c r="Q219" s="19">
        <v>0</v>
      </c>
      <c r="R219" s="16">
        <v>0</v>
      </c>
      <c r="S219" s="25">
        <v>0</v>
      </c>
      <c r="T219" s="22">
        <v>1.3205115244642135E-3</v>
      </c>
      <c r="U219" s="25">
        <v>1.5278838808250572E-4</v>
      </c>
      <c r="V219" s="22">
        <v>6.3015545935182212E-5</v>
      </c>
      <c r="W219" s="25">
        <v>0</v>
      </c>
    </row>
    <row r="220" spans="1:23" x14ac:dyDescent="0.2">
      <c r="A220" s="6" t="s">
        <v>723</v>
      </c>
      <c r="B220" s="19">
        <v>2.7632344386271089E-3</v>
      </c>
      <c r="C220" s="16">
        <v>8.7947702279715244E-4</v>
      </c>
      <c r="D220" s="19">
        <v>1.0232723396695683E-3</v>
      </c>
      <c r="E220" s="16">
        <v>1.3585572122406006E-3</v>
      </c>
      <c r="F220" s="19">
        <v>1.5181915973054006E-3</v>
      </c>
      <c r="G220" s="16">
        <v>1.7822089058787067E-3</v>
      </c>
      <c r="H220" s="22">
        <v>2.8258727247808808E-3</v>
      </c>
      <c r="I220" s="25">
        <v>1.7965691324953637E-3</v>
      </c>
      <c r="J220" s="22">
        <v>6.3991467804292768E-4</v>
      </c>
      <c r="K220" s="25">
        <v>1.2131692538673959E-3</v>
      </c>
      <c r="L220" s="22">
        <v>6.805941519317316E-3</v>
      </c>
      <c r="M220" s="25">
        <v>2.3145992683737946E-3</v>
      </c>
      <c r="N220" s="19">
        <v>3.585878809249177E-4</v>
      </c>
      <c r="O220" s="19">
        <v>1.761536881684756E-3</v>
      </c>
      <c r="P220" s="16">
        <v>6.9192069424865157E-4</v>
      </c>
      <c r="Q220" s="19">
        <v>1.1209266326830179E-3</v>
      </c>
      <c r="R220" s="16">
        <v>8.3548751053285535E-4</v>
      </c>
      <c r="S220" s="25">
        <v>7.0845704496126031E-4</v>
      </c>
      <c r="T220" s="22">
        <v>5.1114536999595636E-3</v>
      </c>
      <c r="U220" s="25">
        <v>1.8207282913165266E-3</v>
      </c>
      <c r="V220" s="22">
        <v>4.9782281288793945E-4</v>
      </c>
      <c r="W220" s="25">
        <v>3.0496600041211624E-4</v>
      </c>
    </row>
    <row r="221" spans="1:23" x14ac:dyDescent="0.2">
      <c r="A221" s="6" t="s">
        <v>722</v>
      </c>
      <c r="B221" s="19">
        <v>0</v>
      </c>
      <c r="C221" s="16">
        <v>8.3100191130439601E-5</v>
      </c>
      <c r="D221" s="19">
        <v>0</v>
      </c>
      <c r="E221" s="16">
        <v>0</v>
      </c>
      <c r="F221" s="19">
        <v>5.3403724528330679E-5</v>
      </c>
      <c r="G221" s="16">
        <v>0</v>
      </c>
      <c r="H221" s="22">
        <v>0</v>
      </c>
      <c r="I221" s="25">
        <v>0</v>
      </c>
      <c r="J221" s="22">
        <v>0</v>
      </c>
      <c r="K221" s="25">
        <v>0</v>
      </c>
      <c r="L221" s="22">
        <v>0</v>
      </c>
      <c r="M221" s="25">
        <v>0</v>
      </c>
      <c r="N221" s="19">
        <v>5.3788182138737653E-5</v>
      </c>
      <c r="O221" s="19">
        <v>0</v>
      </c>
      <c r="P221" s="16">
        <v>0</v>
      </c>
      <c r="Q221" s="19">
        <v>0</v>
      </c>
      <c r="R221" s="16">
        <v>4.2845513360659247E-5</v>
      </c>
      <c r="S221" s="25">
        <v>0</v>
      </c>
      <c r="T221" s="22">
        <v>0</v>
      </c>
      <c r="U221" s="25">
        <v>0</v>
      </c>
      <c r="V221" s="22">
        <v>0</v>
      </c>
      <c r="W221" s="25">
        <v>0</v>
      </c>
    </row>
    <row r="222" spans="1:23" x14ac:dyDescent="0.2">
      <c r="A222" s="6" t="s">
        <v>721</v>
      </c>
      <c r="B222" s="19">
        <v>0</v>
      </c>
      <c r="C222" s="16">
        <v>3.4625079637683168E-5</v>
      </c>
      <c r="D222" s="19">
        <v>0</v>
      </c>
      <c r="E222" s="16">
        <v>0</v>
      </c>
      <c r="F222" s="19">
        <v>0</v>
      </c>
      <c r="G222" s="16">
        <v>0</v>
      </c>
      <c r="H222" s="22">
        <v>0</v>
      </c>
      <c r="I222" s="25">
        <v>0</v>
      </c>
      <c r="J222" s="22">
        <v>0</v>
      </c>
      <c r="K222" s="25">
        <v>0</v>
      </c>
      <c r="L222" s="22">
        <v>0</v>
      </c>
      <c r="M222" s="25">
        <v>7.3162620552045231E-5</v>
      </c>
      <c r="N222" s="19">
        <v>0</v>
      </c>
      <c r="O222" s="19">
        <v>0</v>
      </c>
      <c r="P222" s="16">
        <v>1.0346477671007877E-4</v>
      </c>
      <c r="Q222" s="19">
        <v>0</v>
      </c>
      <c r="R222" s="16">
        <v>4.8558248475413817E-4</v>
      </c>
      <c r="S222" s="25">
        <v>0</v>
      </c>
      <c r="T222" s="22">
        <v>0</v>
      </c>
      <c r="U222" s="25">
        <v>0</v>
      </c>
      <c r="V222" s="22">
        <v>0</v>
      </c>
      <c r="W222" s="25">
        <v>0</v>
      </c>
    </row>
    <row r="223" spans="1:23" x14ac:dyDescent="0.2">
      <c r="A223" s="6" t="s">
        <v>720</v>
      </c>
      <c r="B223" s="19">
        <v>9.9159130572743133E-5</v>
      </c>
      <c r="C223" s="16">
        <v>8.3100191130439601E-5</v>
      </c>
      <c r="D223" s="19">
        <v>0</v>
      </c>
      <c r="E223" s="16">
        <v>9.5099004856842026E-5</v>
      </c>
      <c r="F223" s="19">
        <v>6.8661931536425158E-5</v>
      </c>
      <c r="G223" s="16">
        <v>6.8877638874539383E-5</v>
      </c>
      <c r="H223" s="22">
        <v>6.5262649533045743E-5</v>
      </c>
      <c r="I223" s="25">
        <v>0</v>
      </c>
      <c r="J223" s="22">
        <v>0</v>
      </c>
      <c r="K223" s="25">
        <v>0</v>
      </c>
      <c r="L223" s="22">
        <v>4.918476256055874E-5</v>
      </c>
      <c r="M223" s="25">
        <v>0</v>
      </c>
      <c r="N223" s="19">
        <v>3.5858788092491766E-5</v>
      </c>
      <c r="O223" s="19">
        <v>1.8958244466562397E-4</v>
      </c>
      <c r="P223" s="16">
        <v>7.7598582532559067E-5</v>
      </c>
      <c r="Q223" s="19">
        <v>3.4695348154474364E-4</v>
      </c>
      <c r="R223" s="16">
        <v>2.3565032348362588E-4</v>
      </c>
      <c r="S223" s="25">
        <v>0</v>
      </c>
      <c r="T223" s="22">
        <v>2.0218358269308534E-4</v>
      </c>
      <c r="U223" s="25">
        <v>0</v>
      </c>
      <c r="V223" s="22">
        <v>2.5206218374072882E-5</v>
      </c>
      <c r="W223" s="25">
        <v>0</v>
      </c>
    </row>
    <row r="224" spans="1:23" x14ac:dyDescent="0.2">
      <c r="A224" s="6" t="s">
        <v>719</v>
      </c>
      <c r="B224" s="19">
        <v>7.8335713152467065E-3</v>
      </c>
      <c r="C224" s="16">
        <v>1.2312678319160135E-2</v>
      </c>
      <c r="D224" s="19">
        <v>4.1073014745070177E-3</v>
      </c>
      <c r="E224" s="16">
        <v>6.7927860612030013E-3</v>
      </c>
      <c r="F224" s="19">
        <v>2.952463056066282E-3</v>
      </c>
      <c r="G224" s="16">
        <v>6.620863036815099E-3</v>
      </c>
      <c r="H224" s="22">
        <v>4.7968047406788629E-3</v>
      </c>
      <c r="I224" s="25">
        <v>2.8011024108798681E-3</v>
      </c>
      <c r="J224" s="22">
        <v>3.1729102786295163E-3</v>
      </c>
      <c r="K224" s="25">
        <v>2.0174803614037909E-3</v>
      </c>
      <c r="L224" s="22">
        <v>4.2237414848879818E-3</v>
      </c>
      <c r="M224" s="25">
        <v>4.6092450947788494E-3</v>
      </c>
      <c r="N224" s="19">
        <v>5.9525588233536346E-3</v>
      </c>
      <c r="O224" s="19">
        <v>5.9797462754948901E-3</v>
      </c>
      <c r="P224" s="16">
        <v>6.0720890831727475E-3</v>
      </c>
      <c r="Q224" s="19">
        <v>5.2710240465451445E-3</v>
      </c>
      <c r="R224" s="16">
        <v>5.3485482511889627E-3</v>
      </c>
      <c r="S224" s="25">
        <v>3.1751756651445572E-3</v>
      </c>
      <c r="T224" s="22">
        <v>6.2866457743631235E-3</v>
      </c>
      <c r="U224" s="25">
        <v>4.7619047619047615E-3</v>
      </c>
      <c r="V224" s="22">
        <v>4.7135628359516292E-3</v>
      </c>
      <c r="W224" s="25">
        <v>5.6624768184628058E-3</v>
      </c>
    </row>
    <row r="225" spans="1:23" x14ac:dyDescent="0.2">
      <c r="A225" s="6" t="s">
        <v>718</v>
      </c>
      <c r="B225" s="19">
        <v>0</v>
      </c>
      <c r="C225" s="16">
        <v>0</v>
      </c>
      <c r="D225" s="19">
        <v>4.9742405400604016E-5</v>
      </c>
      <c r="E225" s="16">
        <v>0</v>
      </c>
      <c r="F225" s="19">
        <v>0</v>
      </c>
      <c r="G225" s="16">
        <v>0</v>
      </c>
      <c r="H225" s="22">
        <v>2.6105059813218297E-4</v>
      </c>
      <c r="I225" s="25">
        <v>0</v>
      </c>
      <c r="J225" s="22">
        <v>0</v>
      </c>
      <c r="K225" s="25">
        <v>0</v>
      </c>
      <c r="L225" s="22">
        <v>1.9673905024223496E-4</v>
      </c>
      <c r="M225" s="25">
        <v>6.6511473229132029E-5</v>
      </c>
      <c r="N225" s="19">
        <v>0</v>
      </c>
      <c r="O225" s="19">
        <v>0</v>
      </c>
      <c r="P225" s="16">
        <v>0</v>
      </c>
      <c r="Q225" s="19">
        <v>2.1350983479676532E-4</v>
      </c>
      <c r="R225" s="16">
        <v>0</v>
      </c>
      <c r="S225" s="25">
        <v>0</v>
      </c>
      <c r="T225" s="22">
        <v>5.3705014152850784E-4</v>
      </c>
      <c r="U225" s="25">
        <v>0</v>
      </c>
      <c r="V225" s="22">
        <v>0</v>
      </c>
      <c r="W225" s="25">
        <v>0</v>
      </c>
    </row>
    <row r="226" spans="1:23" x14ac:dyDescent="0.2">
      <c r="A226" s="6" t="s">
        <v>717</v>
      </c>
      <c r="B226" s="19">
        <v>0</v>
      </c>
      <c r="C226" s="16">
        <v>0</v>
      </c>
      <c r="D226" s="19">
        <v>0</v>
      </c>
      <c r="E226" s="16">
        <v>0</v>
      </c>
      <c r="F226" s="19">
        <v>1.7546938059308652E-4</v>
      </c>
      <c r="G226" s="16">
        <v>5.1658229155904537E-5</v>
      </c>
      <c r="H226" s="22">
        <v>0</v>
      </c>
      <c r="I226" s="25">
        <v>0</v>
      </c>
      <c r="J226" s="22">
        <v>0</v>
      </c>
      <c r="K226" s="25">
        <v>0</v>
      </c>
      <c r="L226" s="22">
        <v>1.2296190640139685E-5</v>
      </c>
      <c r="M226" s="25">
        <v>0</v>
      </c>
      <c r="N226" s="19">
        <v>0</v>
      </c>
      <c r="O226" s="19">
        <v>0</v>
      </c>
      <c r="P226" s="16">
        <v>0</v>
      </c>
      <c r="Q226" s="19">
        <v>0</v>
      </c>
      <c r="R226" s="16">
        <v>1.0711378340164812E-4</v>
      </c>
      <c r="S226" s="25">
        <v>1.9321555771670734E-5</v>
      </c>
      <c r="T226" s="22">
        <v>1.137282652648605E-4</v>
      </c>
      <c r="U226" s="25">
        <v>1.9098548510313215E-5</v>
      </c>
      <c r="V226" s="22">
        <v>5.0412436748145764E-5</v>
      </c>
      <c r="W226" s="25">
        <v>0</v>
      </c>
    </row>
    <row r="227" spans="1:23" x14ac:dyDescent="0.2">
      <c r="A227" s="6" t="s">
        <v>716</v>
      </c>
      <c r="B227" s="19">
        <v>0</v>
      </c>
      <c r="C227" s="16">
        <v>0</v>
      </c>
      <c r="D227" s="19">
        <v>0</v>
      </c>
      <c r="E227" s="16">
        <v>0</v>
      </c>
      <c r="F227" s="19">
        <v>0</v>
      </c>
      <c r="G227" s="16">
        <v>0</v>
      </c>
      <c r="H227" s="22">
        <v>0</v>
      </c>
      <c r="I227" s="25">
        <v>0</v>
      </c>
      <c r="J227" s="22">
        <v>0</v>
      </c>
      <c r="K227" s="25">
        <v>0</v>
      </c>
      <c r="L227" s="22">
        <v>0</v>
      </c>
      <c r="M227" s="25">
        <v>0</v>
      </c>
      <c r="N227" s="19">
        <v>0</v>
      </c>
      <c r="O227" s="19">
        <v>0</v>
      </c>
      <c r="P227" s="16">
        <v>0</v>
      </c>
      <c r="Q227" s="19">
        <v>0</v>
      </c>
      <c r="R227" s="16">
        <v>0</v>
      </c>
      <c r="S227" s="25">
        <v>0</v>
      </c>
      <c r="T227" s="22">
        <v>1.2636473918317832E-5</v>
      </c>
      <c r="U227" s="25">
        <v>0</v>
      </c>
      <c r="V227" s="22">
        <v>2.5206218374072882E-5</v>
      </c>
      <c r="W227" s="25">
        <v>0</v>
      </c>
    </row>
    <row r="228" spans="1:23" x14ac:dyDescent="0.2">
      <c r="A228" s="6" t="s">
        <v>715</v>
      </c>
      <c r="B228" s="19">
        <v>0</v>
      </c>
      <c r="C228" s="16">
        <v>0</v>
      </c>
      <c r="D228" s="19">
        <v>0</v>
      </c>
      <c r="E228" s="16">
        <v>0</v>
      </c>
      <c r="F228" s="19">
        <v>0</v>
      </c>
      <c r="G228" s="16">
        <v>2.5829114577952269E-5</v>
      </c>
      <c r="H228" s="22">
        <v>4.568385467313202E-5</v>
      </c>
      <c r="I228" s="25">
        <v>0</v>
      </c>
      <c r="J228" s="22">
        <v>0</v>
      </c>
      <c r="K228" s="25">
        <v>0</v>
      </c>
      <c r="L228" s="22">
        <v>0</v>
      </c>
      <c r="M228" s="25">
        <v>0</v>
      </c>
      <c r="N228" s="19">
        <v>0</v>
      </c>
      <c r="O228" s="19">
        <v>0</v>
      </c>
      <c r="P228" s="16">
        <v>0</v>
      </c>
      <c r="Q228" s="19">
        <v>0</v>
      </c>
      <c r="R228" s="16">
        <v>0</v>
      </c>
      <c r="S228" s="25">
        <v>0</v>
      </c>
      <c r="T228" s="22">
        <v>0</v>
      </c>
      <c r="U228" s="25">
        <v>0</v>
      </c>
      <c r="V228" s="22">
        <v>0</v>
      </c>
      <c r="W228" s="25">
        <v>0</v>
      </c>
    </row>
    <row r="229" spans="1:23" x14ac:dyDescent="0.2">
      <c r="A229" s="6" t="s">
        <v>714</v>
      </c>
      <c r="B229" s="19">
        <v>3.4375165265217622E-4</v>
      </c>
      <c r="C229" s="16">
        <v>1.8282042048696711E-3</v>
      </c>
      <c r="D229" s="19">
        <v>3.0840291348374492E-3</v>
      </c>
      <c r="E229" s="16">
        <v>4.2047345718846585E-3</v>
      </c>
      <c r="F229" s="19">
        <v>1.9835669110522818E-3</v>
      </c>
      <c r="G229" s="16">
        <v>2.5829114577952264E-3</v>
      </c>
      <c r="H229" s="22">
        <v>7.3746793972341693E-4</v>
      </c>
      <c r="I229" s="25">
        <v>5.9241706161137445E-4</v>
      </c>
      <c r="J229" s="22">
        <v>5.9325423276896413E-4</v>
      </c>
      <c r="K229" s="25">
        <v>4.1556073889380409E-4</v>
      </c>
      <c r="L229" s="22">
        <v>8.2384477288935886E-4</v>
      </c>
      <c r="M229" s="25">
        <v>4.8553375457266381E-4</v>
      </c>
      <c r="N229" s="19">
        <v>2.4264446609252757E-3</v>
      </c>
      <c r="O229" s="19">
        <v>2.2670900674597533E-3</v>
      </c>
      <c r="P229" s="16">
        <v>3.6018675392196177E-3</v>
      </c>
      <c r="Q229" s="19">
        <v>2.1217539832928557E-3</v>
      </c>
      <c r="R229" s="16">
        <v>2.9134949085248283E-3</v>
      </c>
      <c r="S229" s="25">
        <v>4.508363013389838E-4</v>
      </c>
      <c r="T229" s="22">
        <v>6.0023251112009712E-4</v>
      </c>
      <c r="U229" s="25">
        <v>6.4935064935064935E-4</v>
      </c>
      <c r="V229" s="22">
        <v>1.0712642808980975E-3</v>
      </c>
      <c r="W229" s="25">
        <v>2.3078508139295282E-4</v>
      </c>
    </row>
    <row r="230" spans="1:23" x14ac:dyDescent="0.2">
      <c r="A230" s="6" t="s">
        <v>713</v>
      </c>
      <c r="B230" s="19">
        <v>0</v>
      </c>
      <c r="C230" s="16">
        <v>0</v>
      </c>
      <c r="D230" s="19">
        <v>0</v>
      </c>
      <c r="E230" s="16">
        <v>0</v>
      </c>
      <c r="F230" s="19">
        <v>0</v>
      </c>
      <c r="G230" s="16">
        <v>0</v>
      </c>
      <c r="H230" s="22">
        <v>0</v>
      </c>
      <c r="I230" s="25">
        <v>0</v>
      </c>
      <c r="J230" s="22">
        <v>0</v>
      </c>
      <c r="K230" s="25">
        <v>0</v>
      </c>
      <c r="L230" s="22">
        <v>0</v>
      </c>
      <c r="M230" s="25">
        <v>0</v>
      </c>
      <c r="N230" s="19">
        <v>0</v>
      </c>
      <c r="O230" s="19">
        <v>0</v>
      </c>
      <c r="P230" s="16">
        <v>0</v>
      </c>
      <c r="Q230" s="19">
        <v>0</v>
      </c>
      <c r="R230" s="16">
        <v>0</v>
      </c>
      <c r="S230" s="25">
        <v>0</v>
      </c>
      <c r="T230" s="22">
        <v>1.2636473918317832E-5</v>
      </c>
      <c r="U230" s="25">
        <v>0</v>
      </c>
      <c r="V230" s="22">
        <v>0</v>
      </c>
      <c r="W230" s="25">
        <v>0</v>
      </c>
    </row>
    <row r="231" spans="1:23" x14ac:dyDescent="0.2">
      <c r="A231" s="6" t="s">
        <v>712</v>
      </c>
      <c r="B231" s="19">
        <v>5.9495478343645881E-5</v>
      </c>
      <c r="C231" s="16">
        <v>0</v>
      </c>
      <c r="D231" s="19">
        <v>3.3398472197548407E-4</v>
      </c>
      <c r="E231" s="16">
        <v>2.0378358183609007E-4</v>
      </c>
      <c r="F231" s="19">
        <v>5.3403724528330679E-5</v>
      </c>
      <c r="G231" s="16">
        <v>6.8877638874539383E-5</v>
      </c>
      <c r="H231" s="22">
        <v>1.4357782897270064E-4</v>
      </c>
      <c r="I231" s="25">
        <v>1.6742221306408406E-4</v>
      </c>
      <c r="J231" s="22">
        <v>9.332089054792694E-5</v>
      </c>
      <c r="K231" s="25">
        <v>1.3405185125606585E-4</v>
      </c>
      <c r="L231" s="22">
        <v>0</v>
      </c>
      <c r="M231" s="25">
        <v>0</v>
      </c>
      <c r="N231" s="19">
        <v>1.8527040514454079E-4</v>
      </c>
      <c r="O231" s="19">
        <v>8.2152392688437047E-4</v>
      </c>
      <c r="P231" s="16">
        <v>0</v>
      </c>
      <c r="Q231" s="19">
        <v>1.0675491739838266E-4</v>
      </c>
      <c r="R231" s="16">
        <v>5.7127351147545669E-5</v>
      </c>
      <c r="S231" s="25">
        <v>8.3726741677239851E-5</v>
      </c>
      <c r="T231" s="22">
        <v>3.0959361099878693E-4</v>
      </c>
      <c r="U231" s="25">
        <v>2.3554876496052968E-4</v>
      </c>
      <c r="V231" s="22">
        <v>3.1507772967591106E-5</v>
      </c>
      <c r="W231" s="25">
        <v>0</v>
      </c>
    </row>
    <row r="232" spans="1:23" x14ac:dyDescent="0.2">
      <c r="A232" s="6" t="s">
        <v>711</v>
      </c>
      <c r="B232" s="19">
        <v>0</v>
      </c>
      <c r="C232" s="16">
        <v>1.2465028669565939E-4</v>
      </c>
      <c r="D232" s="19">
        <v>5.0453011192041217E-4</v>
      </c>
      <c r="E232" s="16">
        <v>5.0266616852902215E-4</v>
      </c>
      <c r="F232" s="19">
        <v>2.2048109126696523E-3</v>
      </c>
      <c r="G232" s="16">
        <v>7.7487343733856806E-4</v>
      </c>
      <c r="H232" s="22">
        <v>1.1159913070150822E-3</v>
      </c>
      <c r="I232" s="25">
        <v>2.3696682464454978E-3</v>
      </c>
      <c r="J232" s="22">
        <v>9.8653512864951354E-4</v>
      </c>
      <c r="K232" s="25">
        <v>9.2495777366685434E-4</v>
      </c>
      <c r="L232" s="22">
        <v>1.7583552615399751E-3</v>
      </c>
      <c r="M232" s="25">
        <v>2.1217159960093121E-3</v>
      </c>
      <c r="N232" s="19">
        <v>2.9882323410409807E-5</v>
      </c>
      <c r="O232" s="19">
        <v>2.3697805583202996E-5</v>
      </c>
      <c r="P232" s="16">
        <v>1.4873061652073824E-4</v>
      </c>
      <c r="Q232" s="19">
        <v>3.4695348154474364E-4</v>
      </c>
      <c r="R232" s="16">
        <v>2.4279124237706909E-4</v>
      </c>
      <c r="S232" s="25">
        <v>2.6792557336716744E-3</v>
      </c>
      <c r="T232" s="22">
        <v>1.882834613829357E-3</v>
      </c>
      <c r="U232" s="25">
        <v>3.1703590527119938E-3</v>
      </c>
      <c r="V232" s="22">
        <v>2.0480052428934218E-3</v>
      </c>
      <c r="W232" s="25">
        <v>3.4288069235524419E-3</v>
      </c>
    </row>
    <row r="233" spans="1:23" x14ac:dyDescent="0.2">
      <c r="A233" s="6" t="s">
        <v>710</v>
      </c>
      <c r="B233" s="19">
        <v>3.9663652229097259E-5</v>
      </c>
      <c r="C233" s="16">
        <v>1.2465028669565939E-4</v>
      </c>
      <c r="D233" s="19">
        <v>1.7054538994492805E-4</v>
      </c>
      <c r="E233" s="16">
        <v>1.7661243759127808E-4</v>
      </c>
      <c r="F233" s="19">
        <v>9.9178345552614115E-5</v>
      </c>
      <c r="G233" s="16">
        <v>1.8080380204566588E-4</v>
      </c>
      <c r="H233" s="22">
        <v>1.5010409392600521E-4</v>
      </c>
      <c r="I233" s="25">
        <v>1.2234700185452296E-4</v>
      </c>
      <c r="J233" s="22">
        <v>1.7997600319957338E-4</v>
      </c>
      <c r="K233" s="25">
        <v>0</v>
      </c>
      <c r="L233" s="22">
        <v>5.594766741263557E-4</v>
      </c>
      <c r="M233" s="25">
        <v>3.1925507149983373E-4</v>
      </c>
      <c r="N233" s="19">
        <v>0</v>
      </c>
      <c r="O233" s="19">
        <v>5.8454587105234062E-4</v>
      </c>
      <c r="P233" s="16">
        <v>4.2679220392907491E-4</v>
      </c>
      <c r="Q233" s="19">
        <v>1.2009928207318049E-4</v>
      </c>
      <c r="R233" s="16">
        <v>1.2139562118853454E-3</v>
      </c>
      <c r="S233" s="25">
        <v>8.3726741677239851E-5</v>
      </c>
      <c r="T233" s="22">
        <v>7.7714314597654682E-4</v>
      </c>
      <c r="U233" s="25">
        <v>1.9098548510313216E-4</v>
      </c>
      <c r="V233" s="22">
        <v>1.8904663780554664E-4</v>
      </c>
      <c r="W233" s="25">
        <v>1.566041623737894E-4</v>
      </c>
    </row>
    <row r="234" spans="1:23" x14ac:dyDescent="0.2">
      <c r="A234" s="6" t="s">
        <v>709</v>
      </c>
      <c r="B234" s="19">
        <v>9.3870643608863502E-4</v>
      </c>
      <c r="C234" s="16">
        <v>0</v>
      </c>
      <c r="D234" s="19">
        <v>3.9793924320483213E-4</v>
      </c>
      <c r="E234" s="16">
        <v>3.1926094487654113E-4</v>
      </c>
      <c r="F234" s="19">
        <v>1.975937807548235E-3</v>
      </c>
      <c r="G234" s="16">
        <v>1.6530633329889452E-3</v>
      </c>
      <c r="H234" s="22">
        <v>2.8780828444073172E-3</v>
      </c>
      <c r="I234" s="25">
        <v>1.1590768596744281E-4</v>
      </c>
      <c r="J234" s="22">
        <v>0</v>
      </c>
      <c r="K234" s="25">
        <v>0</v>
      </c>
      <c r="L234" s="22">
        <v>1.9796866930624894E-3</v>
      </c>
      <c r="M234" s="25">
        <v>8.9125374127036925E-4</v>
      </c>
      <c r="N234" s="19">
        <v>8.3670505549147457E-5</v>
      </c>
      <c r="O234" s="19">
        <v>8.0572538982890199E-4</v>
      </c>
      <c r="P234" s="16">
        <v>5.8198936899419307E-5</v>
      </c>
      <c r="Q234" s="19">
        <v>5.3377458699191329E-4</v>
      </c>
      <c r="R234" s="16">
        <v>1.6424113454919381E-4</v>
      </c>
      <c r="S234" s="25">
        <v>0</v>
      </c>
      <c r="T234" s="22">
        <v>3.2349373230893654E-3</v>
      </c>
      <c r="U234" s="25">
        <v>5.7295645530939649E-5</v>
      </c>
      <c r="V234" s="22">
        <v>0</v>
      </c>
      <c r="W234" s="25">
        <v>0</v>
      </c>
    </row>
    <row r="235" spans="1:23" x14ac:dyDescent="0.2">
      <c r="A235" s="6" t="s">
        <v>708</v>
      </c>
      <c r="B235" s="19">
        <v>0</v>
      </c>
      <c r="C235" s="16">
        <v>0</v>
      </c>
      <c r="D235" s="19">
        <v>0</v>
      </c>
      <c r="E235" s="16">
        <v>0</v>
      </c>
      <c r="F235" s="19">
        <v>0</v>
      </c>
      <c r="G235" s="16">
        <v>0</v>
      </c>
      <c r="H235" s="22">
        <v>0</v>
      </c>
      <c r="I235" s="25">
        <v>0</v>
      </c>
      <c r="J235" s="22">
        <v>0</v>
      </c>
      <c r="K235" s="25">
        <v>0</v>
      </c>
      <c r="L235" s="22">
        <v>0</v>
      </c>
      <c r="M235" s="25">
        <v>0</v>
      </c>
      <c r="N235" s="19">
        <v>0</v>
      </c>
      <c r="O235" s="19">
        <v>0</v>
      </c>
      <c r="P235" s="16">
        <v>0</v>
      </c>
      <c r="Q235" s="19">
        <v>0</v>
      </c>
      <c r="R235" s="16">
        <v>0</v>
      </c>
      <c r="S235" s="25">
        <v>0</v>
      </c>
      <c r="T235" s="22">
        <v>2.5272947836635664E-5</v>
      </c>
      <c r="U235" s="25">
        <v>0</v>
      </c>
      <c r="V235" s="22">
        <v>0</v>
      </c>
      <c r="W235" s="25">
        <v>0</v>
      </c>
    </row>
    <row r="236" spans="1:23" x14ac:dyDescent="0.2">
      <c r="A236" s="6" t="s">
        <v>707</v>
      </c>
      <c r="B236" s="19">
        <v>7.6022000105769819E-3</v>
      </c>
      <c r="C236" s="16">
        <v>1.8420542367247451E-3</v>
      </c>
      <c r="D236" s="19">
        <v>1.3288328299875644E-3</v>
      </c>
      <c r="E236" s="16">
        <v>6.1814353156947326E-4</v>
      </c>
      <c r="F236" s="19">
        <v>3.86795547655195E-3</v>
      </c>
      <c r="G236" s="16">
        <v>5.5102111099631507E-4</v>
      </c>
      <c r="H236" s="22">
        <v>1.2399903411278691E-4</v>
      </c>
      <c r="I236" s="25">
        <v>6.7612816814341641E-4</v>
      </c>
      <c r="J236" s="22">
        <v>8.9988001599786691E-4</v>
      </c>
      <c r="K236" s="25">
        <v>4.1556073889380409E-4</v>
      </c>
      <c r="L236" s="22">
        <v>1.8198362147406738E-3</v>
      </c>
      <c r="M236" s="25">
        <v>2.660458929165281E-5</v>
      </c>
      <c r="N236" s="19">
        <v>7.3331221649145665E-3</v>
      </c>
      <c r="O236" s="19">
        <v>2.2907878730429561E-4</v>
      </c>
      <c r="P236" s="16">
        <v>2.1080948254678543E-3</v>
      </c>
      <c r="Q236" s="19">
        <v>1.5479463022765483E-3</v>
      </c>
      <c r="R236" s="16">
        <v>2.8135220440166234E-3</v>
      </c>
      <c r="S236" s="25">
        <v>1.0626855674418904E-3</v>
      </c>
      <c r="T236" s="22">
        <v>3.8478063081277803E-3</v>
      </c>
      <c r="U236" s="25">
        <v>1.1586452762923352E-3</v>
      </c>
      <c r="V236" s="22">
        <v>3.5918861183053863E-4</v>
      </c>
      <c r="W236" s="25">
        <v>1.0879868122810634E-3</v>
      </c>
    </row>
    <row r="237" spans="1:23" x14ac:dyDescent="0.2">
      <c r="A237" s="6" t="s">
        <v>706</v>
      </c>
      <c r="B237" s="19">
        <v>2.3798191337458355E-4</v>
      </c>
      <c r="C237" s="16">
        <v>0</v>
      </c>
      <c r="D237" s="19">
        <v>1.7765144785930004E-4</v>
      </c>
      <c r="E237" s="16">
        <v>0</v>
      </c>
      <c r="F237" s="19">
        <v>1.4495296657689755E-4</v>
      </c>
      <c r="G237" s="16">
        <v>1.2914557288976134E-4</v>
      </c>
      <c r="H237" s="22">
        <v>7.8315179439654892E-5</v>
      </c>
      <c r="I237" s="25">
        <v>0</v>
      </c>
      <c r="J237" s="22">
        <v>0</v>
      </c>
      <c r="K237" s="25">
        <v>0</v>
      </c>
      <c r="L237" s="22">
        <v>0</v>
      </c>
      <c r="M237" s="25">
        <v>4.6558031260392418E-5</v>
      </c>
      <c r="N237" s="19">
        <v>0</v>
      </c>
      <c r="O237" s="19">
        <v>2.2986871415706907E-3</v>
      </c>
      <c r="P237" s="16">
        <v>5.1732388355039383E-5</v>
      </c>
      <c r="Q237" s="19">
        <v>6.8056259841468944E-4</v>
      </c>
      <c r="R237" s="16">
        <v>2.4993216127051226E-4</v>
      </c>
      <c r="S237" s="25">
        <v>0</v>
      </c>
      <c r="T237" s="22">
        <v>4.1068540234532946E-4</v>
      </c>
      <c r="U237" s="25">
        <v>2.5464731347084288E-5</v>
      </c>
      <c r="V237" s="22">
        <v>3.7809327561109322E-4</v>
      </c>
      <c r="W237" s="25">
        <v>0</v>
      </c>
    </row>
    <row r="238" spans="1:23" x14ac:dyDescent="0.2">
      <c r="A238" s="6" t="s">
        <v>705</v>
      </c>
      <c r="B238" s="19">
        <v>6.6106087048495426E-5</v>
      </c>
      <c r="C238" s="16">
        <v>0</v>
      </c>
      <c r="D238" s="19">
        <v>0</v>
      </c>
      <c r="E238" s="16">
        <v>6.792786061203002E-5</v>
      </c>
      <c r="F238" s="19">
        <v>0</v>
      </c>
      <c r="G238" s="16">
        <v>0</v>
      </c>
      <c r="H238" s="22">
        <v>0</v>
      </c>
      <c r="I238" s="25">
        <v>0</v>
      </c>
      <c r="J238" s="22">
        <v>0</v>
      </c>
      <c r="K238" s="25">
        <v>0</v>
      </c>
      <c r="L238" s="22">
        <v>0</v>
      </c>
      <c r="M238" s="25">
        <v>0</v>
      </c>
      <c r="N238" s="19">
        <v>0</v>
      </c>
      <c r="O238" s="19">
        <v>0</v>
      </c>
      <c r="P238" s="16">
        <v>1.9399645633139767E-5</v>
      </c>
      <c r="Q238" s="19">
        <v>0</v>
      </c>
      <c r="R238" s="16">
        <v>0</v>
      </c>
      <c r="S238" s="25">
        <v>0</v>
      </c>
      <c r="T238" s="22">
        <v>0</v>
      </c>
      <c r="U238" s="25">
        <v>0</v>
      </c>
      <c r="V238" s="22">
        <v>0</v>
      </c>
      <c r="W238" s="25">
        <v>0</v>
      </c>
    </row>
    <row r="239" spans="1:23" x14ac:dyDescent="0.2">
      <c r="A239" s="6" t="s">
        <v>704</v>
      </c>
      <c r="B239" s="19">
        <v>9.2548521867893594E-5</v>
      </c>
      <c r="C239" s="16">
        <v>0</v>
      </c>
      <c r="D239" s="19">
        <v>0</v>
      </c>
      <c r="E239" s="16">
        <v>6.1135074550827022E-5</v>
      </c>
      <c r="F239" s="19">
        <v>0</v>
      </c>
      <c r="G239" s="16">
        <v>0</v>
      </c>
      <c r="H239" s="22">
        <v>0</v>
      </c>
      <c r="I239" s="25">
        <v>0</v>
      </c>
      <c r="J239" s="22">
        <v>0</v>
      </c>
      <c r="K239" s="25">
        <v>0</v>
      </c>
      <c r="L239" s="22">
        <v>7.3777143840838107E-5</v>
      </c>
      <c r="M239" s="25">
        <v>0</v>
      </c>
      <c r="N239" s="19">
        <v>0</v>
      </c>
      <c r="O239" s="19">
        <v>4.7395611166405993E-5</v>
      </c>
      <c r="P239" s="16">
        <v>0</v>
      </c>
      <c r="Q239" s="19">
        <v>0</v>
      </c>
      <c r="R239" s="16">
        <v>0</v>
      </c>
      <c r="S239" s="25">
        <v>0</v>
      </c>
      <c r="T239" s="22">
        <v>1.8322887181560857E-4</v>
      </c>
      <c r="U239" s="25">
        <v>0</v>
      </c>
      <c r="V239" s="22">
        <v>0</v>
      </c>
      <c r="W239" s="25">
        <v>0</v>
      </c>
    </row>
    <row r="240" spans="1:23" x14ac:dyDescent="0.2">
      <c r="A240" s="6" t="s">
        <v>703</v>
      </c>
      <c r="B240" s="19">
        <v>8.5937913163044056E-5</v>
      </c>
      <c r="C240" s="16">
        <v>6.2325143347829697E-5</v>
      </c>
      <c r="D240" s="19">
        <v>3.0556049031799608E-4</v>
      </c>
      <c r="E240" s="16">
        <v>1.9699079577488706E-4</v>
      </c>
      <c r="F240" s="19">
        <v>1.0680744905666134E-4</v>
      </c>
      <c r="G240" s="16">
        <v>0</v>
      </c>
      <c r="H240" s="22">
        <v>3.1326071775861957E-4</v>
      </c>
      <c r="I240" s="25">
        <v>0</v>
      </c>
      <c r="J240" s="22">
        <v>3.9994667377682974E-5</v>
      </c>
      <c r="K240" s="25">
        <v>0</v>
      </c>
      <c r="L240" s="22">
        <v>1.9673905024223493E-4</v>
      </c>
      <c r="M240" s="25">
        <v>5.3209178583305619E-5</v>
      </c>
      <c r="N240" s="19">
        <v>1.6734101109829491E-4</v>
      </c>
      <c r="O240" s="19">
        <v>3.238700096371076E-4</v>
      </c>
      <c r="P240" s="16">
        <v>8.4065131076938992E-5</v>
      </c>
      <c r="Q240" s="19">
        <v>0</v>
      </c>
      <c r="R240" s="16">
        <v>1.2139562118853454E-4</v>
      </c>
      <c r="S240" s="25">
        <v>0</v>
      </c>
      <c r="T240" s="22">
        <v>8.2137080469065916E-5</v>
      </c>
      <c r="U240" s="25">
        <v>0</v>
      </c>
      <c r="V240" s="22">
        <v>2.5206218374072882E-5</v>
      </c>
      <c r="W240" s="25">
        <v>0</v>
      </c>
    </row>
    <row r="241" spans="1:23" x14ac:dyDescent="0.2">
      <c r="A241" s="6" t="s">
        <v>702</v>
      </c>
      <c r="B241" s="19">
        <v>6.0156539214130844E-4</v>
      </c>
      <c r="C241" s="16">
        <v>1.5927536633334258E-4</v>
      </c>
      <c r="D241" s="19">
        <v>9.1668147095398829E-4</v>
      </c>
      <c r="E241" s="16">
        <v>1.0189179091804504E-4</v>
      </c>
      <c r="F241" s="19">
        <v>4.0434248571450375E-4</v>
      </c>
      <c r="G241" s="16">
        <v>2.23852326342253E-4</v>
      </c>
      <c r="H241" s="22">
        <v>1.5010409392600521E-4</v>
      </c>
      <c r="I241" s="25">
        <v>5.1514527096641252E-5</v>
      </c>
      <c r="J241" s="22">
        <v>3.9994667377682974E-5</v>
      </c>
      <c r="K241" s="25">
        <v>0</v>
      </c>
      <c r="L241" s="22">
        <v>8.8532572609005729E-4</v>
      </c>
      <c r="M241" s="25">
        <v>4.0571998669770533E-4</v>
      </c>
      <c r="N241" s="19">
        <v>7.7694040867065501E-5</v>
      </c>
      <c r="O241" s="19">
        <v>3.7126562080351359E-4</v>
      </c>
      <c r="P241" s="16">
        <v>4.3972530101783476E-4</v>
      </c>
      <c r="Q241" s="19">
        <v>4.2701966959353063E-4</v>
      </c>
      <c r="R241" s="16">
        <v>3.4276410688527397E-4</v>
      </c>
      <c r="S241" s="25">
        <v>0</v>
      </c>
      <c r="T241" s="22">
        <v>3.1591184795794582E-5</v>
      </c>
      <c r="U241" s="25">
        <v>2.5464731347084288E-5</v>
      </c>
      <c r="V241" s="22">
        <v>2.7726840211480169E-4</v>
      </c>
      <c r="W241" s="25">
        <v>0</v>
      </c>
    </row>
    <row r="242" spans="1:23" x14ac:dyDescent="0.2">
      <c r="A242" s="6" t="s">
        <v>701</v>
      </c>
      <c r="B242" s="19">
        <v>0</v>
      </c>
      <c r="C242" s="16">
        <v>0</v>
      </c>
      <c r="D242" s="19">
        <v>0</v>
      </c>
      <c r="E242" s="16">
        <v>6.792786061203002E-5</v>
      </c>
      <c r="F242" s="19">
        <v>0</v>
      </c>
      <c r="G242" s="16">
        <v>0</v>
      </c>
      <c r="H242" s="22">
        <v>0</v>
      </c>
      <c r="I242" s="25">
        <v>0</v>
      </c>
      <c r="J242" s="22">
        <v>0</v>
      </c>
      <c r="K242" s="25">
        <v>0</v>
      </c>
      <c r="L242" s="22">
        <v>0</v>
      </c>
      <c r="M242" s="25">
        <v>0</v>
      </c>
      <c r="N242" s="19">
        <v>0</v>
      </c>
      <c r="O242" s="19">
        <v>5.5294879694140323E-5</v>
      </c>
      <c r="P242" s="16">
        <v>0</v>
      </c>
      <c r="Q242" s="19">
        <v>0</v>
      </c>
      <c r="R242" s="16">
        <v>0</v>
      </c>
      <c r="S242" s="25">
        <v>0</v>
      </c>
      <c r="T242" s="22">
        <v>0</v>
      </c>
      <c r="U242" s="25">
        <v>0</v>
      </c>
      <c r="V242" s="22">
        <v>0</v>
      </c>
      <c r="W242" s="25">
        <v>0</v>
      </c>
    </row>
    <row r="243" spans="1:23" x14ac:dyDescent="0.2">
      <c r="A243" s="6" t="s">
        <v>700</v>
      </c>
      <c r="B243" s="19">
        <v>2.3137130466973399E-4</v>
      </c>
      <c r="C243" s="16">
        <v>2.7700063710146532E-5</v>
      </c>
      <c r="D243" s="19">
        <v>4.9742405400604016E-5</v>
      </c>
      <c r="E243" s="16">
        <v>0</v>
      </c>
      <c r="F243" s="19">
        <v>0</v>
      </c>
      <c r="G243" s="16">
        <v>0</v>
      </c>
      <c r="H243" s="22">
        <v>8.8757203364942211E-4</v>
      </c>
      <c r="I243" s="25">
        <v>1.4166494951576344E-4</v>
      </c>
      <c r="J243" s="22">
        <v>1.4664711371817091E-4</v>
      </c>
      <c r="K243" s="25">
        <v>0</v>
      </c>
      <c r="L243" s="22">
        <v>1.604652878538229E-3</v>
      </c>
      <c r="M243" s="25">
        <v>3.7246425008313934E-4</v>
      </c>
      <c r="N243" s="19">
        <v>2.3308212260119649E-4</v>
      </c>
      <c r="O243" s="19">
        <v>1.8168317613788962E-4</v>
      </c>
      <c r="P243" s="16">
        <v>0</v>
      </c>
      <c r="Q243" s="19">
        <v>0</v>
      </c>
      <c r="R243" s="16">
        <v>0</v>
      </c>
      <c r="S243" s="25">
        <v>3.0270437375617482E-4</v>
      </c>
      <c r="T243" s="22">
        <v>1.061463809138698E-3</v>
      </c>
      <c r="U243" s="25">
        <v>4.9019607843137254E-4</v>
      </c>
      <c r="V243" s="22">
        <v>0</v>
      </c>
      <c r="W243" s="25">
        <v>4.1211621677313004E-5</v>
      </c>
    </row>
    <row r="244" spans="1:23" x14ac:dyDescent="0.2">
      <c r="A244" s="6" t="s">
        <v>699</v>
      </c>
      <c r="B244" s="19">
        <v>0</v>
      </c>
      <c r="C244" s="16">
        <v>0</v>
      </c>
      <c r="D244" s="19">
        <v>0</v>
      </c>
      <c r="E244" s="16">
        <v>0</v>
      </c>
      <c r="F244" s="19">
        <v>2.0598579460927546E-4</v>
      </c>
      <c r="G244" s="16">
        <v>1.2397974997417089E-3</v>
      </c>
      <c r="H244" s="22">
        <v>0</v>
      </c>
      <c r="I244" s="25">
        <v>0</v>
      </c>
      <c r="J244" s="22">
        <v>0</v>
      </c>
      <c r="K244" s="25">
        <v>0</v>
      </c>
      <c r="L244" s="22">
        <v>0</v>
      </c>
      <c r="M244" s="25">
        <v>0</v>
      </c>
      <c r="N244" s="19">
        <v>0</v>
      </c>
      <c r="O244" s="19">
        <v>0</v>
      </c>
      <c r="P244" s="16">
        <v>3.2332742721899616E-5</v>
      </c>
      <c r="Q244" s="19">
        <v>0</v>
      </c>
      <c r="R244" s="16">
        <v>0</v>
      </c>
      <c r="S244" s="25">
        <v>0</v>
      </c>
      <c r="T244" s="22">
        <v>0</v>
      </c>
      <c r="U244" s="25">
        <v>0</v>
      </c>
      <c r="V244" s="22">
        <v>0</v>
      </c>
      <c r="W244" s="25">
        <v>0</v>
      </c>
    </row>
    <row r="245" spans="1:23" x14ac:dyDescent="0.2">
      <c r="A245" s="6" t="s">
        <v>698</v>
      </c>
      <c r="B245" s="19">
        <v>1.3948384367232531E-3</v>
      </c>
      <c r="C245" s="16">
        <v>1.3850031855073268E-3</v>
      </c>
      <c r="D245" s="19">
        <v>1.0516965713270566E-3</v>
      </c>
      <c r="E245" s="16">
        <v>1.854430594708419E-3</v>
      </c>
      <c r="F245" s="19">
        <v>3.4865003013495885E-3</v>
      </c>
      <c r="G245" s="16">
        <v>1.4636498260839621E-3</v>
      </c>
      <c r="H245" s="22">
        <v>7.0483661495689403E-4</v>
      </c>
      <c r="I245" s="25">
        <v>2.5435297753966615E-3</v>
      </c>
      <c r="J245" s="22">
        <v>9.065457938941475E-4</v>
      </c>
      <c r="K245" s="25">
        <v>1.615324807635593E-3</v>
      </c>
      <c r="L245" s="22">
        <v>1.3710252563755754E-3</v>
      </c>
      <c r="M245" s="25">
        <v>1.0907881609577652E-3</v>
      </c>
      <c r="N245" s="19">
        <v>2.0379744565899487E-3</v>
      </c>
      <c r="O245" s="19">
        <v>4.786956727807005E-3</v>
      </c>
      <c r="P245" s="16">
        <v>3.9381280635273734E-3</v>
      </c>
      <c r="Q245" s="19">
        <v>1.8148335957725054E-3</v>
      </c>
      <c r="R245" s="16">
        <v>1.8423570745083474E-3</v>
      </c>
      <c r="S245" s="25">
        <v>1.5650460175053299E-3</v>
      </c>
      <c r="T245" s="22">
        <v>2.7737060250707644E-3</v>
      </c>
      <c r="U245" s="25">
        <v>3.5395976572447155E-3</v>
      </c>
      <c r="V245" s="22">
        <v>6.6796478691293125E-4</v>
      </c>
      <c r="W245" s="25">
        <v>6.8411291984339585E-4</v>
      </c>
    </row>
    <row r="246" spans="1:23" x14ac:dyDescent="0.2">
      <c r="A246" s="6" t="s">
        <v>697</v>
      </c>
      <c r="B246" s="19">
        <v>0</v>
      </c>
      <c r="C246" s="16">
        <v>0</v>
      </c>
      <c r="D246" s="19">
        <v>0</v>
      </c>
      <c r="E246" s="16">
        <v>0</v>
      </c>
      <c r="F246" s="19">
        <v>0</v>
      </c>
      <c r="G246" s="16">
        <v>0</v>
      </c>
      <c r="H246" s="22">
        <v>0</v>
      </c>
      <c r="I246" s="25">
        <v>0</v>
      </c>
      <c r="J246" s="22">
        <v>0</v>
      </c>
      <c r="K246" s="25">
        <v>0</v>
      </c>
      <c r="L246" s="22">
        <v>0</v>
      </c>
      <c r="M246" s="25">
        <v>0</v>
      </c>
      <c r="N246" s="19">
        <v>0</v>
      </c>
      <c r="O246" s="19">
        <v>0</v>
      </c>
      <c r="P246" s="16">
        <v>0</v>
      </c>
      <c r="Q246" s="19">
        <v>0</v>
      </c>
      <c r="R246" s="16">
        <v>0</v>
      </c>
      <c r="S246" s="25">
        <v>0</v>
      </c>
      <c r="T246" s="22">
        <v>1.8954710877476749E-5</v>
      </c>
      <c r="U246" s="25">
        <v>0</v>
      </c>
      <c r="V246" s="22">
        <v>0</v>
      </c>
      <c r="W246" s="25">
        <v>0</v>
      </c>
    </row>
    <row r="247" spans="1:23" x14ac:dyDescent="0.2">
      <c r="A247" s="6" t="s">
        <v>696</v>
      </c>
      <c r="B247" s="19">
        <v>0</v>
      </c>
      <c r="C247" s="16">
        <v>0</v>
      </c>
      <c r="D247" s="19">
        <v>0</v>
      </c>
      <c r="E247" s="16">
        <v>0</v>
      </c>
      <c r="F247" s="19">
        <v>0</v>
      </c>
      <c r="G247" s="16">
        <v>0</v>
      </c>
      <c r="H247" s="22">
        <v>0</v>
      </c>
      <c r="I247" s="25">
        <v>0</v>
      </c>
      <c r="J247" s="22">
        <v>0</v>
      </c>
      <c r="K247" s="25">
        <v>0</v>
      </c>
      <c r="L247" s="22">
        <v>0</v>
      </c>
      <c r="M247" s="25">
        <v>0</v>
      </c>
      <c r="N247" s="19">
        <v>0</v>
      </c>
      <c r="O247" s="19">
        <v>0</v>
      </c>
      <c r="P247" s="16">
        <v>0</v>
      </c>
      <c r="Q247" s="19">
        <v>0</v>
      </c>
      <c r="R247" s="16">
        <v>0</v>
      </c>
      <c r="S247" s="25">
        <v>0</v>
      </c>
      <c r="T247" s="22">
        <v>3.1591184795794582E-5</v>
      </c>
      <c r="U247" s="25">
        <v>0</v>
      </c>
      <c r="V247" s="22">
        <v>0</v>
      </c>
      <c r="W247" s="25">
        <v>0</v>
      </c>
    </row>
    <row r="248" spans="1:23" x14ac:dyDescent="0.2">
      <c r="A248" s="6" t="s">
        <v>695</v>
      </c>
      <c r="B248" s="19">
        <v>0</v>
      </c>
      <c r="C248" s="16">
        <v>0</v>
      </c>
      <c r="D248" s="19">
        <v>0</v>
      </c>
      <c r="E248" s="16">
        <v>0</v>
      </c>
      <c r="F248" s="19">
        <v>2.7464772614570063E-4</v>
      </c>
      <c r="G248" s="16">
        <v>1.2053586803044392E-4</v>
      </c>
      <c r="H248" s="22">
        <v>0</v>
      </c>
      <c r="I248" s="25">
        <v>0</v>
      </c>
      <c r="J248" s="22">
        <v>0</v>
      </c>
      <c r="K248" s="25">
        <v>0</v>
      </c>
      <c r="L248" s="22">
        <v>0</v>
      </c>
      <c r="M248" s="25">
        <v>1.9953441968739608E-5</v>
      </c>
      <c r="N248" s="19">
        <v>7.0522283248567147E-4</v>
      </c>
      <c r="O248" s="19">
        <v>0</v>
      </c>
      <c r="P248" s="16">
        <v>0</v>
      </c>
      <c r="Q248" s="19">
        <v>0</v>
      </c>
      <c r="R248" s="16">
        <v>0</v>
      </c>
      <c r="S248" s="25">
        <v>1.9321555771670734E-5</v>
      </c>
      <c r="T248" s="22">
        <v>0</v>
      </c>
      <c r="U248" s="25">
        <v>0</v>
      </c>
      <c r="V248" s="22">
        <v>0</v>
      </c>
      <c r="W248" s="25">
        <v>0</v>
      </c>
    </row>
    <row r="249" spans="1:23" x14ac:dyDescent="0.2">
      <c r="A249" s="6" t="s">
        <v>694</v>
      </c>
      <c r="B249" s="19">
        <v>0</v>
      </c>
      <c r="C249" s="16">
        <v>0</v>
      </c>
      <c r="D249" s="19">
        <v>0</v>
      </c>
      <c r="E249" s="16">
        <v>0</v>
      </c>
      <c r="F249" s="19">
        <v>0</v>
      </c>
      <c r="G249" s="16">
        <v>1.7219409718634846E-5</v>
      </c>
      <c r="H249" s="22">
        <v>0</v>
      </c>
      <c r="I249" s="25">
        <v>0</v>
      </c>
      <c r="J249" s="22">
        <v>0</v>
      </c>
      <c r="K249" s="25">
        <v>0</v>
      </c>
      <c r="L249" s="22">
        <v>1.8444285960209527E-5</v>
      </c>
      <c r="M249" s="25">
        <v>0</v>
      </c>
      <c r="N249" s="19">
        <v>0</v>
      </c>
      <c r="O249" s="19">
        <v>0</v>
      </c>
      <c r="P249" s="16">
        <v>0</v>
      </c>
      <c r="Q249" s="19">
        <v>0</v>
      </c>
      <c r="R249" s="16">
        <v>0</v>
      </c>
      <c r="S249" s="25">
        <v>0</v>
      </c>
      <c r="T249" s="22">
        <v>0</v>
      </c>
      <c r="U249" s="25">
        <v>0</v>
      </c>
      <c r="V249" s="22">
        <v>0</v>
      </c>
      <c r="W249" s="25">
        <v>0</v>
      </c>
    </row>
    <row r="250" spans="1:23" x14ac:dyDescent="0.2">
      <c r="A250" s="6" t="s">
        <v>693</v>
      </c>
      <c r="B250" s="19">
        <v>8.5937913163044056E-5</v>
      </c>
      <c r="C250" s="16">
        <v>0</v>
      </c>
      <c r="D250" s="19">
        <v>0</v>
      </c>
      <c r="E250" s="16">
        <v>2.0378358183609007E-5</v>
      </c>
      <c r="F250" s="19">
        <v>0</v>
      </c>
      <c r="G250" s="16">
        <v>0</v>
      </c>
      <c r="H250" s="22">
        <v>1.9578794859913723E-5</v>
      </c>
      <c r="I250" s="25">
        <v>0</v>
      </c>
      <c r="J250" s="22">
        <v>0</v>
      </c>
      <c r="K250" s="25">
        <v>0</v>
      </c>
      <c r="L250" s="22">
        <v>3.6888571920419054E-5</v>
      </c>
      <c r="M250" s="25">
        <v>1.3302294645826405E-5</v>
      </c>
      <c r="N250" s="19">
        <v>1.5538808173413098E-4</v>
      </c>
      <c r="O250" s="19">
        <v>4.7395611166405993E-5</v>
      </c>
      <c r="P250" s="16">
        <v>0</v>
      </c>
      <c r="Q250" s="19">
        <v>5.3377458699191329E-5</v>
      </c>
      <c r="R250" s="16">
        <v>4.9986432254102458E-5</v>
      </c>
      <c r="S250" s="25">
        <v>0</v>
      </c>
      <c r="T250" s="22">
        <v>1.8322887181560863E-4</v>
      </c>
      <c r="U250" s="25">
        <v>4.4563279857397503E-5</v>
      </c>
      <c r="V250" s="22">
        <v>1.8904663780554662E-5</v>
      </c>
      <c r="W250" s="25">
        <v>0</v>
      </c>
    </row>
    <row r="251" spans="1:23" x14ac:dyDescent="0.2">
      <c r="A251" s="6" t="s">
        <v>692</v>
      </c>
      <c r="B251" s="19">
        <v>0</v>
      </c>
      <c r="C251" s="16">
        <v>0</v>
      </c>
      <c r="D251" s="19">
        <v>8.5272694972464023E-5</v>
      </c>
      <c r="E251" s="16">
        <v>2.7171144244812009E-5</v>
      </c>
      <c r="F251" s="19">
        <v>0</v>
      </c>
      <c r="G251" s="16">
        <v>0</v>
      </c>
      <c r="H251" s="22">
        <v>3.2631324766522872E-5</v>
      </c>
      <c r="I251" s="25">
        <v>0</v>
      </c>
      <c r="J251" s="22">
        <v>0</v>
      </c>
      <c r="K251" s="25">
        <v>0</v>
      </c>
      <c r="L251" s="22">
        <v>0</v>
      </c>
      <c r="M251" s="25">
        <v>0</v>
      </c>
      <c r="N251" s="19">
        <v>0</v>
      </c>
      <c r="O251" s="19">
        <v>0</v>
      </c>
      <c r="P251" s="16">
        <v>6.4665485443799232E-5</v>
      </c>
      <c r="Q251" s="19">
        <v>0</v>
      </c>
      <c r="R251" s="16">
        <v>0</v>
      </c>
      <c r="S251" s="25">
        <v>0</v>
      </c>
      <c r="T251" s="22">
        <v>0</v>
      </c>
      <c r="U251" s="25">
        <v>0</v>
      </c>
      <c r="V251" s="22">
        <v>0</v>
      </c>
      <c r="W251" s="25">
        <v>0</v>
      </c>
    </row>
    <row r="252" spans="1:23" x14ac:dyDescent="0.2">
      <c r="A252" s="6" t="s">
        <v>691</v>
      </c>
      <c r="B252" s="19">
        <v>0</v>
      </c>
      <c r="C252" s="16">
        <v>1.3850031855073266E-5</v>
      </c>
      <c r="D252" s="19">
        <v>0</v>
      </c>
      <c r="E252" s="16">
        <v>0</v>
      </c>
      <c r="F252" s="19">
        <v>0</v>
      </c>
      <c r="G252" s="16">
        <v>0</v>
      </c>
      <c r="H252" s="22">
        <v>0</v>
      </c>
      <c r="I252" s="25">
        <v>0</v>
      </c>
      <c r="J252" s="22">
        <v>0</v>
      </c>
      <c r="K252" s="25">
        <v>0</v>
      </c>
      <c r="L252" s="22">
        <v>0</v>
      </c>
      <c r="M252" s="25">
        <v>0</v>
      </c>
      <c r="N252" s="19">
        <v>0</v>
      </c>
      <c r="O252" s="19">
        <v>0</v>
      </c>
      <c r="P252" s="16">
        <v>0</v>
      </c>
      <c r="Q252" s="19">
        <v>0</v>
      </c>
      <c r="R252" s="16">
        <v>0</v>
      </c>
      <c r="S252" s="25">
        <v>0</v>
      </c>
      <c r="T252" s="22">
        <v>0</v>
      </c>
      <c r="U252" s="25">
        <v>0</v>
      </c>
      <c r="V252" s="22">
        <v>0</v>
      </c>
      <c r="W252" s="25">
        <v>0</v>
      </c>
    </row>
    <row r="253" spans="1:23" x14ac:dyDescent="0.2">
      <c r="A253" s="6" t="s">
        <v>690</v>
      </c>
      <c r="B253" s="19">
        <v>1.9170765244063673E-4</v>
      </c>
      <c r="C253" s="16">
        <v>0</v>
      </c>
      <c r="D253" s="19">
        <v>4.050453011192041E-4</v>
      </c>
      <c r="E253" s="16">
        <v>1.0189179091804504E-4</v>
      </c>
      <c r="F253" s="19">
        <v>0</v>
      </c>
      <c r="G253" s="16">
        <v>6.1128904501153703E-4</v>
      </c>
      <c r="H253" s="22">
        <v>6.3957396542384834E-4</v>
      </c>
      <c r="I253" s="25">
        <v>0</v>
      </c>
      <c r="J253" s="22">
        <v>1.9997333688841487E-5</v>
      </c>
      <c r="K253" s="25">
        <v>0</v>
      </c>
      <c r="L253" s="22">
        <v>3.8733000516440007E-4</v>
      </c>
      <c r="M253" s="25">
        <v>1.6627868307283005E-4</v>
      </c>
      <c r="N253" s="19">
        <v>0</v>
      </c>
      <c r="O253" s="19">
        <v>1.2480844273820243E-3</v>
      </c>
      <c r="P253" s="16">
        <v>1.2933097088759846E-4</v>
      </c>
      <c r="Q253" s="19">
        <v>2.5354292882115881E-4</v>
      </c>
      <c r="R253" s="16">
        <v>1.3567745897542097E-4</v>
      </c>
      <c r="S253" s="25">
        <v>0</v>
      </c>
      <c r="T253" s="22">
        <v>3.1591184795794588E-4</v>
      </c>
      <c r="U253" s="25">
        <v>1.7188693659281893E-4</v>
      </c>
      <c r="V253" s="22">
        <v>7.5618655122218647E-5</v>
      </c>
      <c r="W253" s="25">
        <v>5.7696270348238206E-5</v>
      </c>
    </row>
    <row r="254" spans="1:23" x14ac:dyDescent="0.2">
      <c r="A254" s="6" t="s">
        <v>689</v>
      </c>
      <c r="B254" s="19">
        <v>1.4543339150668996E-4</v>
      </c>
      <c r="C254" s="16">
        <v>0</v>
      </c>
      <c r="D254" s="19">
        <v>0</v>
      </c>
      <c r="E254" s="16">
        <v>0</v>
      </c>
      <c r="F254" s="19">
        <v>0</v>
      </c>
      <c r="G254" s="16">
        <v>3.4438819437269692E-5</v>
      </c>
      <c r="H254" s="22">
        <v>3.2631324766522872E-5</v>
      </c>
      <c r="I254" s="25">
        <v>0</v>
      </c>
      <c r="J254" s="22">
        <v>0</v>
      </c>
      <c r="K254" s="25">
        <v>0</v>
      </c>
      <c r="L254" s="22">
        <v>3.6888571920419054E-5</v>
      </c>
      <c r="M254" s="25">
        <v>1.9953441968739608E-5</v>
      </c>
      <c r="N254" s="19">
        <v>0</v>
      </c>
      <c r="O254" s="19">
        <v>2.6857512994296726E-4</v>
      </c>
      <c r="P254" s="16">
        <v>3.2332742721899616E-5</v>
      </c>
      <c r="Q254" s="19">
        <v>8.0066188048786993E-5</v>
      </c>
      <c r="R254" s="16">
        <v>1.7138205344263699E-4</v>
      </c>
      <c r="S254" s="25">
        <v>0</v>
      </c>
      <c r="T254" s="22">
        <v>0</v>
      </c>
      <c r="U254" s="25">
        <v>0</v>
      </c>
      <c r="V254" s="22">
        <v>0</v>
      </c>
      <c r="W254" s="25">
        <v>0</v>
      </c>
    </row>
    <row r="255" spans="1:23" x14ac:dyDescent="0.2">
      <c r="A255" s="6" t="s">
        <v>688</v>
      </c>
      <c r="B255" s="19">
        <v>0</v>
      </c>
      <c r="C255" s="16">
        <v>0</v>
      </c>
      <c r="D255" s="19">
        <v>0</v>
      </c>
      <c r="E255" s="16">
        <v>0</v>
      </c>
      <c r="F255" s="19">
        <v>3.8145517520236195E-4</v>
      </c>
      <c r="G255" s="16">
        <v>4.3048524296587115E-5</v>
      </c>
      <c r="H255" s="22">
        <v>0</v>
      </c>
      <c r="I255" s="25">
        <v>0</v>
      </c>
      <c r="J255" s="22">
        <v>0</v>
      </c>
      <c r="K255" s="25">
        <v>0</v>
      </c>
      <c r="L255" s="22">
        <v>0</v>
      </c>
      <c r="M255" s="25">
        <v>0</v>
      </c>
      <c r="N255" s="19">
        <v>0</v>
      </c>
      <c r="O255" s="19">
        <v>0</v>
      </c>
      <c r="P255" s="16">
        <v>0</v>
      </c>
      <c r="Q255" s="19">
        <v>0</v>
      </c>
      <c r="R255" s="16">
        <v>0</v>
      </c>
      <c r="S255" s="25">
        <v>0</v>
      </c>
      <c r="T255" s="22">
        <v>0</v>
      </c>
      <c r="U255" s="25">
        <v>0</v>
      </c>
      <c r="V255" s="22">
        <v>0</v>
      </c>
      <c r="W255" s="25">
        <v>0</v>
      </c>
    </row>
    <row r="256" spans="1:23" x14ac:dyDescent="0.2">
      <c r="A256" s="6" t="s">
        <v>687</v>
      </c>
      <c r="B256" s="19">
        <v>0</v>
      </c>
      <c r="C256" s="16">
        <v>0</v>
      </c>
      <c r="D256" s="19">
        <v>0</v>
      </c>
      <c r="E256" s="16">
        <v>0</v>
      </c>
      <c r="F256" s="19">
        <v>0</v>
      </c>
      <c r="G256" s="16">
        <v>0</v>
      </c>
      <c r="H256" s="22">
        <v>0</v>
      </c>
      <c r="I256" s="25">
        <v>7.0832474757881719E-5</v>
      </c>
      <c r="J256" s="22">
        <v>0</v>
      </c>
      <c r="K256" s="25">
        <v>0</v>
      </c>
      <c r="L256" s="22">
        <v>0</v>
      </c>
      <c r="M256" s="25">
        <v>0</v>
      </c>
      <c r="N256" s="19">
        <v>0</v>
      </c>
      <c r="O256" s="19">
        <v>0</v>
      </c>
      <c r="P256" s="16">
        <v>0</v>
      </c>
      <c r="Q256" s="19">
        <v>0</v>
      </c>
      <c r="R256" s="16">
        <v>0</v>
      </c>
      <c r="S256" s="25">
        <v>0</v>
      </c>
      <c r="T256" s="22">
        <v>0</v>
      </c>
      <c r="U256" s="25">
        <v>0</v>
      </c>
      <c r="V256" s="22">
        <v>0</v>
      </c>
      <c r="W256" s="25">
        <v>0</v>
      </c>
    </row>
    <row r="257" spans="1:23" x14ac:dyDescent="0.2">
      <c r="A257" s="6" t="s">
        <v>686</v>
      </c>
      <c r="B257" s="19">
        <v>0</v>
      </c>
      <c r="C257" s="16">
        <v>0</v>
      </c>
      <c r="D257" s="19">
        <v>0</v>
      </c>
      <c r="E257" s="16">
        <v>0</v>
      </c>
      <c r="F257" s="19">
        <v>0</v>
      </c>
      <c r="G257" s="16">
        <v>0</v>
      </c>
      <c r="H257" s="22">
        <v>0</v>
      </c>
      <c r="I257" s="25">
        <v>0</v>
      </c>
      <c r="J257" s="22">
        <v>0</v>
      </c>
      <c r="K257" s="25">
        <v>0</v>
      </c>
      <c r="L257" s="22">
        <v>0</v>
      </c>
      <c r="M257" s="25">
        <v>0</v>
      </c>
      <c r="N257" s="19">
        <v>0</v>
      </c>
      <c r="O257" s="19">
        <v>0</v>
      </c>
      <c r="P257" s="16">
        <v>0</v>
      </c>
      <c r="Q257" s="19">
        <v>0</v>
      </c>
      <c r="R257" s="16">
        <v>0</v>
      </c>
      <c r="S257" s="25">
        <v>0</v>
      </c>
      <c r="T257" s="22">
        <v>2.5272947836635664E-5</v>
      </c>
      <c r="U257" s="25">
        <v>1.2732365673542144E-5</v>
      </c>
      <c r="V257" s="22">
        <v>0</v>
      </c>
      <c r="W257" s="25">
        <v>0</v>
      </c>
    </row>
    <row r="258" spans="1:23" x14ac:dyDescent="0.2">
      <c r="A258" s="6" t="s">
        <v>685</v>
      </c>
      <c r="B258" s="19">
        <v>2.0691205246179067E-3</v>
      </c>
      <c r="C258" s="16">
        <v>6.5025899559568983E-3</v>
      </c>
      <c r="D258" s="19">
        <v>1.6272872623911885E-3</v>
      </c>
      <c r="E258" s="16">
        <v>1.9223584553204496E-3</v>
      </c>
      <c r="F258" s="19">
        <v>1.1748819396232748E-3</v>
      </c>
      <c r="G258" s="16">
        <v>4.9075317698109308E-3</v>
      </c>
      <c r="H258" s="22">
        <v>2.1993512892636417E-3</v>
      </c>
      <c r="I258" s="25">
        <v>4.0052544817638577E-3</v>
      </c>
      <c r="J258" s="22">
        <v>1.4598053592854287E-3</v>
      </c>
      <c r="K258" s="25">
        <v>2.8553044317542026E-3</v>
      </c>
      <c r="L258" s="22">
        <v>3.1047881366352702E-3</v>
      </c>
      <c r="M258" s="25">
        <v>3.9441303624875293E-3</v>
      </c>
      <c r="N258" s="19">
        <v>1.1952929364163923E-3</v>
      </c>
      <c r="O258" s="19">
        <v>3.8469437730066199E-3</v>
      </c>
      <c r="P258" s="16">
        <v>2.3667567672430519E-3</v>
      </c>
      <c r="Q258" s="19">
        <v>2.9891376871547144E-3</v>
      </c>
      <c r="R258" s="16">
        <v>1.3496336708607663E-3</v>
      </c>
      <c r="S258" s="25">
        <v>1.5714865360958864E-3</v>
      </c>
      <c r="T258" s="22">
        <v>3.5192579862515162E-3</v>
      </c>
      <c r="U258" s="25">
        <v>5.0229182582123754E-3</v>
      </c>
      <c r="V258" s="22">
        <v>1.2477078095166079E-3</v>
      </c>
      <c r="W258" s="25">
        <v>2.678755409025345E-3</v>
      </c>
    </row>
    <row r="259" spans="1:23" x14ac:dyDescent="0.2">
      <c r="A259" s="6" t="s">
        <v>684</v>
      </c>
      <c r="B259" s="19">
        <v>1.3221217409699086E-5</v>
      </c>
      <c r="C259" s="16">
        <v>0</v>
      </c>
      <c r="D259" s="19">
        <v>8.6693906555338439E-4</v>
      </c>
      <c r="E259" s="16">
        <v>2.5133308426451107E-4</v>
      </c>
      <c r="F259" s="19">
        <v>1.9835669110522823E-4</v>
      </c>
      <c r="G259" s="16">
        <v>6.026793401522196E-5</v>
      </c>
      <c r="H259" s="22">
        <v>0</v>
      </c>
      <c r="I259" s="25">
        <v>0</v>
      </c>
      <c r="J259" s="22">
        <v>0</v>
      </c>
      <c r="K259" s="25">
        <v>0</v>
      </c>
      <c r="L259" s="22">
        <v>4.3036667240488894E-5</v>
      </c>
      <c r="M259" s="25">
        <v>0</v>
      </c>
      <c r="N259" s="19">
        <v>2.2710565791911452E-4</v>
      </c>
      <c r="O259" s="19">
        <v>1.1058975938828065E-4</v>
      </c>
      <c r="P259" s="16">
        <v>4.5912494665097451E-4</v>
      </c>
      <c r="Q259" s="19">
        <v>0</v>
      </c>
      <c r="R259" s="16">
        <v>0</v>
      </c>
      <c r="S259" s="25">
        <v>0</v>
      </c>
      <c r="T259" s="22">
        <v>0</v>
      </c>
      <c r="U259" s="25">
        <v>0</v>
      </c>
      <c r="V259" s="22">
        <v>0</v>
      </c>
      <c r="W259" s="25">
        <v>0</v>
      </c>
    </row>
    <row r="260" spans="1:23" x14ac:dyDescent="0.2">
      <c r="A260" s="6" t="s">
        <v>683</v>
      </c>
      <c r="B260" s="19">
        <v>0</v>
      </c>
      <c r="C260" s="16">
        <v>0</v>
      </c>
      <c r="D260" s="19">
        <v>0</v>
      </c>
      <c r="E260" s="16">
        <v>0</v>
      </c>
      <c r="F260" s="19">
        <v>0</v>
      </c>
      <c r="G260" s="16">
        <v>0</v>
      </c>
      <c r="H260" s="22">
        <v>0</v>
      </c>
      <c r="I260" s="25">
        <v>0</v>
      </c>
      <c r="J260" s="22">
        <v>0</v>
      </c>
      <c r="K260" s="25">
        <v>0</v>
      </c>
      <c r="L260" s="22">
        <v>0</v>
      </c>
      <c r="M260" s="25">
        <v>0</v>
      </c>
      <c r="N260" s="19">
        <v>0</v>
      </c>
      <c r="O260" s="19">
        <v>0</v>
      </c>
      <c r="P260" s="16">
        <v>0</v>
      </c>
      <c r="Q260" s="19">
        <v>0</v>
      </c>
      <c r="R260" s="16">
        <v>7.1409188934432086E-6</v>
      </c>
      <c r="S260" s="25">
        <v>0</v>
      </c>
      <c r="T260" s="22">
        <v>0</v>
      </c>
      <c r="U260" s="25">
        <v>0</v>
      </c>
      <c r="V260" s="22">
        <v>0</v>
      </c>
      <c r="W260" s="25">
        <v>0</v>
      </c>
    </row>
    <row r="261" spans="1:23" x14ac:dyDescent="0.2">
      <c r="A261" s="6" t="s">
        <v>682</v>
      </c>
      <c r="B261" s="19">
        <v>0</v>
      </c>
      <c r="C261" s="16">
        <v>0</v>
      </c>
      <c r="D261" s="19">
        <v>0</v>
      </c>
      <c r="E261" s="16">
        <v>0</v>
      </c>
      <c r="F261" s="19">
        <v>0</v>
      </c>
      <c r="G261" s="16">
        <v>6.026793401522196E-5</v>
      </c>
      <c r="H261" s="22">
        <v>0</v>
      </c>
      <c r="I261" s="25">
        <v>0</v>
      </c>
      <c r="J261" s="22">
        <v>0</v>
      </c>
      <c r="K261" s="25">
        <v>0</v>
      </c>
      <c r="L261" s="22">
        <v>0</v>
      </c>
      <c r="M261" s="25">
        <v>0</v>
      </c>
      <c r="N261" s="19">
        <v>0</v>
      </c>
      <c r="O261" s="19">
        <v>0</v>
      </c>
      <c r="P261" s="16">
        <v>0</v>
      </c>
      <c r="Q261" s="19">
        <v>0</v>
      </c>
      <c r="R261" s="16">
        <v>0</v>
      </c>
      <c r="S261" s="25">
        <v>0</v>
      </c>
      <c r="T261" s="22">
        <v>0</v>
      </c>
      <c r="U261" s="25">
        <v>0</v>
      </c>
      <c r="V261" s="22">
        <v>0</v>
      </c>
      <c r="W261" s="25">
        <v>0</v>
      </c>
    </row>
    <row r="262" spans="1:23" x14ac:dyDescent="0.2">
      <c r="A262" s="6" t="s">
        <v>681</v>
      </c>
      <c r="B262" s="19">
        <v>4.8918504415886618E-4</v>
      </c>
      <c r="C262" s="16">
        <v>1.2465028669565939E-4</v>
      </c>
      <c r="D262" s="19">
        <v>4.2636347486232017E-4</v>
      </c>
      <c r="E262" s="16">
        <v>1.7661243759127806E-4</v>
      </c>
      <c r="F262" s="19">
        <v>6.6373200485210981E-4</v>
      </c>
      <c r="G262" s="16">
        <v>4.7353376726245826E-4</v>
      </c>
      <c r="H262" s="22">
        <v>7.1788914486350318E-5</v>
      </c>
      <c r="I262" s="25">
        <v>4.5075211209561096E-5</v>
      </c>
      <c r="J262" s="22">
        <v>7.3323556859085457E-5</v>
      </c>
      <c r="K262" s="25">
        <v>0</v>
      </c>
      <c r="L262" s="22">
        <v>1.8444285960209528E-4</v>
      </c>
      <c r="M262" s="25">
        <v>1.4632524110409046E-4</v>
      </c>
      <c r="N262" s="19">
        <v>3.0479969878618004E-4</v>
      </c>
      <c r="O262" s="19">
        <v>3.001722040539046E-4</v>
      </c>
      <c r="P262" s="16">
        <v>1.8106335924263783E-4</v>
      </c>
      <c r="Q262" s="19">
        <v>4.9374149296751979E-4</v>
      </c>
      <c r="R262" s="16">
        <v>2.9991859352461475E-4</v>
      </c>
      <c r="S262" s="25">
        <v>0</v>
      </c>
      <c r="T262" s="22">
        <v>3.2223008491710477E-4</v>
      </c>
      <c r="U262" s="25">
        <v>1.4642220524573466E-4</v>
      </c>
      <c r="V262" s="22">
        <v>0</v>
      </c>
      <c r="W262" s="25">
        <v>0</v>
      </c>
    </row>
    <row r="263" spans="1:23" x14ac:dyDescent="0.2">
      <c r="A263" s="6" t="s">
        <v>680</v>
      </c>
      <c r="B263" s="19">
        <v>3.1069860912792853E-4</v>
      </c>
      <c r="C263" s="16">
        <v>0</v>
      </c>
      <c r="D263" s="19">
        <v>1.7765144785930004E-4</v>
      </c>
      <c r="E263" s="16">
        <v>1.0189179091804504E-4</v>
      </c>
      <c r="F263" s="19">
        <v>0</v>
      </c>
      <c r="G263" s="16">
        <v>1.894135069049833E-4</v>
      </c>
      <c r="H263" s="22">
        <v>0</v>
      </c>
      <c r="I263" s="25">
        <v>0</v>
      </c>
      <c r="J263" s="22">
        <v>0</v>
      </c>
      <c r="K263" s="25">
        <v>0</v>
      </c>
      <c r="L263" s="22">
        <v>0</v>
      </c>
      <c r="M263" s="25">
        <v>7.9813767874958432E-5</v>
      </c>
      <c r="N263" s="19">
        <v>6.5741111502901577E-5</v>
      </c>
      <c r="O263" s="19">
        <v>0</v>
      </c>
      <c r="P263" s="16">
        <v>0</v>
      </c>
      <c r="Q263" s="19">
        <v>0</v>
      </c>
      <c r="R263" s="16">
        <v>0</v>
      </c>
      <c r="S263" s="25">
        <v>0</v>
      </c>
      <c r="T263" s="22">
        <v>0</v>
      </c>
      <c r="U263" s="25">
        <v>0</v>
      </c>
      <c r="V263" s="22">
        <v>0</v>
      </c>
      <c r="W263" s="25">
        <v>0</v>
      </c>
    </row>
    <row r="264" spans="1:23" x14ac:dyDescent="0.2">
      <c r="A264" s="6" t="s">
        <v>679</v>
      </c>
      <c r="B264" s="19">
        <v>0</v>
      </c>
      <c r="C264" s="16">
        <v>0</v>
      </c>
      <c r="D264" s="19">
        <v>0</v>
      </c>
      <c r="E264" s="16">
        <v>0</v>
      </c>
      <c r="F264" s="19">
        <v>0</v>
      </c>
      <c r="G264" s="16">
        <v>0</v>
      </c>
      <c r="H264" s="22">
        <v>0</v>
      </c>
      <c r="I264" s="25">
        <v>0</v>
      </c>
      <c r="J264" s="22">
        <v>0</v>
      </c>
      <c r="K264" s="25">
        <v>0</v>
      </c>
      <c r="L264" s="22">
        <v>1.2296190640139685E-5</v>
      </c>
      <c r="M264" s="25">
        <v>0</v>
      </c>
      <c r="N264" s="19">
        <v>0</v>
      </c>
      <c r="O264" s="19">
        <v>0</v>
      </c>
      <c r="P264" s="16">
        <v>0</v>
      </c>
      <c r="Q264" s="19">
        <v>0</v>
      </c>
      <c r="R264" s="16">
        <v>0</v>
      </c>
      <c r="S264" s="25">
        <v>0</v>
      </c>
      <c r="T264" s="22">
        <v>6.9500606550748086E-5</v>
      </c>
      <c r="U264" s="25">
        <v>0</v>
      </c>
      <c r="V264" s="22">
        <v>0</v>
      </c>
      <c r="W264" s="25">
        <v>0</v>
      </c>
    </row>
    <row r="265" spans="1:23" x14ac:dyDescent="0.2">
      <c r="A265" s="6" t="s">
        <v>678</v>
      </c>
      <c r="B265" s="19">
        <v>9.2548521867893594E-5</v>
      </c>
      <c r="C265" s="16">
        <v>0</v>
      </c>
      <c r="D265" s="19">
        <v>1.2080298454432404E-4</v>
      </c>
      <c r="E265" s="16">
        <v>4.7549502428421013E-5</v>
      </c>
      <c r="F265" s="19">
        <v>2.3650220862546443E-4</v>
      </c>
      <c r="G265" s="16">
        <v>2.5829114577952269E-5</v>
      </c>
      <c r="H265" s="22">
        <v>0</v>
      </c>
      <c r="I265" s="25">
        <v>0</v>
      </c>
      <c r="J265" s="22">
        <v>0</v>
      </c>
      <c r="K265" s="25">
        <v>0</v>
      </c>
      <c r="L265" s="22">
        <v>3.0740476600349214E-4</v>
      </c>
      <c r="M265" s="25">
        <v>9.9767209843698037E-5</v>
      </c>
      <c r="N265" s="19">
        <v>8.3670505549147457E-5</v>
      </c>
      <c r="O265" s="19">
        <v>0</v>
      </c>
      <c r="P265" s="16">
        <v>2.4572884468643708E-4</v>
      </c>
      <c r="Q265" s="19">
        <v>9.3410552723584826E-5</v>
      </c>
      <c r="R265" s="16">
        <v>3.5704594467216042E-5</v>
      </c>
      <c r="S265" s="25">
        <v>0</v>
      </c>
      <c r="T265" s="22">
        <v>2.9063890012131013E-4</v>
      </c>
      <c r="U265" s="25">
        <v>2.5464731347084288E-5</v>
      </c>
      <c r="V265" s="22">
        <v>4.4110882154627547E-5</v>
      </c>
      <c r="W265" s="25">
        <v>0</v>
      </c>
    </row>
    <row r="266" spans="1:23" x14ac:dyDescent="0.2">
      <c r="A266" s="6" t="s">
        <v>677</v>
      </c>
      <c r="B266" s="19">
        <v>0</v>
      </c>
      <c r="C266" s="16">
        <v>0</v>
      </c>
      <c r="D266" s="19">
        <v>0</v>
      </c>
      <c r="E266" s="16">
        <v>0</v>
      </c>
      <c r="F266" s="19">
        <v>0</v>
      </c>
      <c r="G266" s="16">
        <v>0</v>
      </c>
      <c r="H266" s="22">
        <v>0</v>
      </c>
      <c r="I266" s="25">
        <v>0</v>
      </c>
      <c r="J266" s="22">
        <v>0</v>
      </c>
      <c r="K266" s="25">
        <v>0</v>
      </c>
      <c r="L266" s="22">
        <v>1.2296190640139685E-5</v>
      </c>
      <c r="M266" s="25">
        <v>0</v>
      </c>
      <c r="N266" s="19">
        <v>0</v>
      </c>
      <c r="O266" s="19">
        <v>0</v>
      </c>
      <c r="P266" s="16">
        <v>0</v>
      </c>
      <c r="Q266" s="19">
        <v>0</v>
      </c>
      <c r="R266" s="16">
        <v>0</v>
      </c>
      <c r="S266" s="25">
        <v>0</v>
      </c>
      <c r="T266" s="22">
        <v>0</v>
      </c>
      <c r="U266" s="25">
        <v>0</v>
      </c>
      <c r="V266" s="22">
        <v>0</v>
      </c>
      <c r="W266" s="25">
        <v>0</v>
      </c>
    </row>
    <row r="267" spans="1:23" x14ac:dyDescent="0.2">
      <c r="A267" s="6" t="s">
        <v>676</v>
      </c>
      <c r="B267" s="19">
        <v>0</v>
      </c>
      <c r="C267" s="16">
        <v>0</v>
      </c>
      <c r="D267" s="19">
        <v>0</v>
      </c>
      <c r="E267" s="16">
        <v>0</v>
      </c>
      <c r="F267" s="19">
        <v>0</v>
      </c>
      <c r="G267" s="16">
        <v>0</v>
      </c>
      <c r="H267" s="22">
        <v>0</v>
      </c>
      <c r="I267" s="25">
        <v>0</v>
      </c>
      <c r="J267" s="22">
        <v>0</v>
      </c>
      <c r="K267" s="25">
        <v>0</v>
      </c>
      <c r="L267" s="22">
        <v>0</v>
      </c>
      <c r="M267" s="25">
        <v>5.3209178583305619E-5</v>
      </c>
      <c r="N267" s="19">
        <v>0</v>
      </c>
      <c r="O267" s="19">
        <v>0</v>
      </c>
      <c r="P267" s="16">
        <v>0</v>
      </c>
      <c r="Q267" s="19">
        <v>9.3410552723584826E-5</v>
      </c>
      <c r="R267" s="16">
        <v>4.2845513360659247E-5</v>
      </c>
      <c r="S267" s="25">
        <v>0</v>
      </c>
      <c r="T267" s="22">
        <v>0</v>
      </c>
      <c r="U267" s="25">
        <v>0</v>
      </c>
      <c r="V267" s="22">
        <v>0</v>
      </c>
      <c r="W267" s="25">
        <v>0</v>
      </c>
    </row>
    <row r="268" spans="1:23" x14ac:dyDescent="0.2">
      <c r="A268" s="6" t="s">
        <v>675</v>
      </c>
      <c r="B268" s="19">
        <v>1.9170765244063673E-4</v>
      </c>
      <c r="C268" s="16">
        <v>0</v>
      </c>
      <c r="D268" s="19">
        <v>6.3954521229348018E-5</v>
      </c>
      <c r="E268" s="16">
        <v>1.3585572122406004E-5</v>
      </c>
      <c r="F268" s="19">
        <v>0</v>
      </c>
      <c r="G268" s="16">
        <v>0</v>
      </c>
      <c r="H268" s="22">
        <v>0</v>
      </c>
      <c r="I268" s="25">
        <v>0</v>
      </c>
      <c r="J268" s="22">
        <v>0</v>
      </c>
      <c r="K268" s="25">
        <v>0</v>
      </c>
      <c r="L268" s="22">
        <v>1.1066571576125716E-4</v>
      </c>
      <c r="M268" s="25">
        <v>0</v>
      </c>
      <c r="N268" s="19">
        <v>0</v>
      </c>
      <c r="O268" s="19">
        <v>0</v>
      </c>
      <c r="P268" s="16">
        <v>0</v>
      </c>
      <c r="Q268" s="19">
        <v>0</v>
      </c>
      <c r="R268" s="16">
        <v>0</v>
      </c>
      <c r="S268" s="25">
        <v>0</v>
      </c>
      <c r="T268" s="22">
        <v>1.2636473918317832E-5</v>
      </c>
      <c r="U268" s="25">
        <v>0</v>
      </c>
      <c r="V268" s="22">
        <v>0</v>
      </c>
      <c r="W268" s="25">
        <v>0</v>
      </c>
    </row>
    <row r="269" spans="1:23" x14ac:dyDescent="0.2">
      <c r="A269" s="6" t="s">
        <v>674</v>
      </c>
      <c r="B269" s="19">
        <v>6.0156539214130823E-4</v>
      </c>
      <c r="C269" s="16">
        <v>2.8392565302900194E-4</v>
      </c>
      <c r="D269" s="19">
        <v>2.344999111742761E-4</v>
      </c>
      <c r="E269" s="16">
        <v>1.9019800971368405E-4</v>
      </c>
      <c r="F269" s="19">
        <v>5.8744096981163741E-4</v>
      </c>
      <c r="G269" s="16">
        <v>3.4438819437269692E-5</v>
      </c>
      <c r="H269" s="22">
        <v>0</v>
      </c>
      <c r="I269" s="25">
        <v>4.5075211209561096E-5</v>
      </c>
      <c r="J269" s="22">
        <v>0</v>
      </c>
      <c r="K269" s="25">
        <v>0</v>
      </c>
      <c r="L269" s="22">
        <v>4.734033396453778E-4</v>
      </c>
      <c r="M269" s="25">
        <v>0</v>
      </c>
      <c r="N269" s="19">
        <v>8.8451677294813032E-4</v>
      </c>
      <c r="O269" s="19">
        <v>3.9496342638671656E-5</v>
      </c>
      <c r="P269" s="16">
        <v>9.9584847583450821E-4</v>
      </c>
      <c r="Q269" s="19">
        <v>9.3410552723584826E-5</v>
      </c>
      <c r="R269" s="16">
        <v>1.5710021565575061E-4</v>
      </c>
      <c r="S269" s="25">
        <v>0</v>
      </c>
      <c r="T269" s="22">
        <v>8.2137080469065916E-5</v>
      </c>
      <c r="U269" s="25">
        <v>0</v>
      </c>
      <c r="V269" s="22">
        <v>5.0412436748145764E-5</v>
      </c>
      <c r="W269" s="25">
        <v>0</v>
      </c>
    </row>
    <row r="270" spans="1:23" x14ac:dyDescent="0.2">
      <c r="A270" s="6" t="s">
        <v>673</v>
      </c>
      <c r="B270" s="19">
        <v>4.2968956581522022E-4</v>
      </c>
      <c r="C270" s="16">
        <v>0</v>
      </c>
      <c r="D270" s="19">
        <v>8.5272694972464023E-5</v>
      </c>
      <c r="E270" s="16">
        <v>2.0378358183609007E-5</v>
      </c>
      <c r="F270" s="19">
        <v>9.1549242048566886E-5</v>
      </c>
      <c r="G270" s="16">
        <v>1.7219409718634846E-5</v>
      </c>
      <c r="H270" s="22">
        <v>0</v>
      </c>
      <c r="I270" s="25">
        <v>0</v>
      </c>
      <c r="J270" s="22">
        <v>2.6663111585121983E-5</v>
      </c>
      <c r="K270" s="25">
        <v>0</v>
      </c>
      <c r="L270" s="22">
        <v>1.2296190640139685E-4</v>
      </c>
      <c r="M270" s="25">
        <v>0</v>
      </c>
      <c r="N270" s="19">
        <v>2.7491737537577025E-4</v>
      </c>
      <c r="O270" s="19">
        <v>3.1597074110937325E-4</v>
      </c>
      <c r="P270" s="16">
        <v>6.4665485443799232E-5</v>
      </c>
      <c r="Q270" s="19">
        <v>0</v>
      </c>
      <c r="R270" s="16">
        <v>7.1409188934432086E-6</v>
      </c>
      <c r="S270" s="25">
        <v>0</v>
      </c>
      <c r="T270" s="22">
        <v>0</v>
      </c>
      <c r="U270" s="25">
        <v>1.2732365673542144E-5</v>
      </c>
      <c r="V270" s="22">
        <v>0</v>
      </c>
      <c r="W270" s="25">
        <v>0</v>
      </c>
    </row>
    <row r="271" spans="1:23" x14ac:dyDescent="0.2">
      <c r="A271" s="6" t="s">
        <v>672</v>
      </c>
      <c r="B271" s="19">
        <v>0</v>
      </c>
      <c r="C271" s="16">
        <v>0</v>
      </c>
      <c r="D271" s="19">
        <v>0</v>
      </c>
      <c r="E271" s="16">
        <v>0</v>
      </c>
      <c r="F271" s="19">
        <v>0</v>
      </c>
      <c r="G271" s="16">
        <v>0</v>
      </c>
      <c r="H271" s="22">
        <v>0</v>
      </c>
      <c r="I271" s="25">
        <v>0</v>
      </c>
      <c r="J271" s="22">
        <v>0</v>
      </c>
      <c r="K271" s="25">
        <v>9.3836295879246086E-5</v>
      </c>
      <c r="L271" s="22">
        <v>0</v>
      </c>
      <c r="M271" s="25">
        <v>0</v>
      </c>
      <c r="N271" s="19">
        <v>0</v>
      </c>
      <c r="O271" s="19">
        <v>0</v>
      </c>
      <c r="P271" s="16">
        <v>0</v>
      </c>
      <c r="Q271" s="19">
        <v>0</v>
      </c>
      <c r="R271" s="16">
        <v>0</v>
      </c>
      <c r="S271" s="25">
        <v>0</v>
      </c>
      <c r="T271" s="22">
        <v>0</v>
      </c>
      <c r="U271" s="25">
        <v>0</v>
      </c>
      <c r="V271" s="22">
        <v>0</v>
      </c>
      <c r="W271" s="25">
        <v>9.890789202555121E-5</v>
      </c>
    </row>
    <row r="272" spans="1:23" x14ac:dyDescent="0.2">
      <c r="A272" s="6" t="s">
        <v>671</v>
      </c>
      <c r="B272" s="19">
        <v>0</v>
      </c>
      <c r="C272" s="16">
        <v>0</v>
      </c>
      <c r="D272" s="19">
        <v>0</v>
      </c>
      <c r="E272" s="16">
        <v>0</v>
      </c>
      <c r="F272" s="19">
        <v>2.2887310512141718E-5</v>
      </c>
      <c r="G272" s="16">
        <v>0</v>
      </c>
      <c r="H272" s="22">
        <v>0</v>
      </c>
      <c r="I272" s="25">
        <v>0</v>
      </c>
      <c r="J272" s="22">
        <v>0</v>
      </c>
      <c r="K272" s="25">
        <v>0</v>
      </c>
      <c r="L272" s="22">
        <v>0</v>
      </c>
      <c r="M272" s="25">
        <v>0</v>
      </c>
      <c r="N272" s="19">
        <v>0</v>
      </c>
      <c r="O272" s="19">
        <v>0</v>
      </c>
      <c r="P272" s="16">
        <v>0</v>
      </c>
      <c r="Q272" s="19">
        <v>0</v>
      </c>
      <c r="R272" s="16">
        <v>0</v>
      </c>
      <c r="S272" s="25">
        <v>0</v>
      </c>
      <c r="T272" s="22">
        <v>0</v>
      </c>
      <c r="U272" s="25">
        <v>0</v>
      </c>
      <c r="V272" s="22">
        <v>0</v>
      </c>
      <c r="W272" s="25">
        <v>0</v>
      </c>
    </row>
    <row r="273" spans="1:23" x14ac:dyDescent="0.2">
      <c r="A273" s="6" t="s">
        <v>670</v>
      </c>
      <c r="B273" s="19">
        <v>0</v>
      </c>
      <c r="C273" s="16">
        <v>0</v>
      </c>
      <c r="D273" s="19">
        <v>4.2636347486232012E-5</v>
      </c>
      <c r="E273" s="16">
        <v>0</v>
      </c>
      <c r="F273" s="19">
        <v>0</v>
      </c>
      <c r="G273" s="16">
        <v>0</v>
      </c>
      <c r="H273" s="22">
        <v>0</v>
      </c>
      <c r="I273" s="25">
        <v>0</v>
      </c>
      <c r="J273" s="22">
        <v>0</v>
      </c>
      <c r="K273" s="25">
        <v>0</v>
      </c>
      <c r="L273" s="22">
        <v>0</v>
      </c>
      <c r="M273" s="25">
        <v>0</v>
      </c>
      <c r="N273" s="19">
        <v>0</v>
      </c>
      <c r="O273" s="19">
        <v>0</v>
      </c>
      <c r="P273" s="16">
        <v>0</v>
      </c>
      <c r="Q273" s="19">
        <v>0</v>
      </c>
      <c r="R273" s="16">
        <v>0</v>
      </c>
      <c r="S273" s="25">
        <v>0</v>
      </c>
      <c r="T273" s="22">
        <v>0</v>
      </c>
      <c r="U273" s="25">
        <v>0</v>
      </c>
      <c r="V273" s="22">
        <v>0</v>
      </c>
      <c r="W273" s="25">
        <v>0</v>
      </c>
    </row>
    <row r="274" spans="1:23" x14ac:dyDescent="0.2">
      <c r="A274" s="6" t="s">
        <v>669</v>
      </c>
      <c r="B274" s="19">
        <v>6.6106087048495418E-4</v>
      </c>
      <c r="C274" s="16">
        <v>0</v>
      </c>
      <c r="D274" s="19">
        <v>1.1653934979570088E-3</v>
      </c>
      <c r="E274" s="16">
        <v>2.1736915395849607E-4</v>
      </c>
      <c r="F274" s="19">
        <v>8.9260510997352701E-4</v>
      </c>
      <c r="G274" s="16">
        <v>1.2914557288976134E-4</v>
      </c>
      <c r="H274" s="22">
        <v>4.1115469205818816E-4</v>
      </c>
      <c r="I274" s="25">
        <v>9.6589738306202355E-5</v>
      </c>
      <c r="J274" s="22">
        <v>1.3331555792560992E-5</v>
      </c>
      <c r="K274" s="25">
        <v>3.3512962814016462E-5</v>
      </c>
      <c r="L274" s="22">
        <v>2.8896048004328258E-4</v>
      </c>
      <c r="M274" s="25">
        <v>1.3967409378117727E-4</v>
      </c>
      <c r="N274" s="19">
        <v>3.585878809249177E-4</v>
      </c>
      <c r="O274" s="19">
        <v>9.8740856596679139E-4</v>
      </c>
      <c r="P274" s="16">
        <v>1.2286442234321854E-4</v>
      </c>
      <c r="Q274" s="19">
        <v>2.5354292882115881E-4</v>
      </c>
      <c r="R274" s="16">
        <v>3.1420043131150121E-4</v>
      </c>
      <c r="S274" s="25">
        <v>2.8982333657506104E-4</v>
      </c>
      <c r="T274" s="22">
        <v>3.7909421754953499E-4</v>
      </c>
      <c r="U274" s="25">
        <v>3.1194295900178256E-4</v>
      </c>
      <c r="V274" s="22">
        <v>1.5123731024443729E-4</v>
      </c>
      <c r="W274" s="25">
        <v>3.2969297341850403E-5</v>
      </c>
    </row>
    <row r="275" spans="1:23" x14ac:dyDescent="0.2">
      <c r="A275" s="6" t="s">
        <v>668</v>
      </c>
      <c r="B275" s="19">
        <v>3.9663652229097259E-5</v>
      </c>
      <c r="C275" s="16">
        <v>0</v>
      </c>
      <c r="D275" s="19">
        <v>0</v>
      </c>
      <c r="E275" s="16">
        <v>0</v>
      </c>
      <c r="F275" s="19">
        <v>3.4330965768212575E-4</v>
      </c>
      <c r="G275" s="16">
        <v>0</v>
      </c>
      <c r="H275" s="22">
        <v>0</v>
      </c>
      <c r="I275" s="25">
        <v>0</v>
      </c>
      <c r="J275" s="22">
        <v>0</v>
      </c>
      <c r="K275" s="25">
        <v>0</v>
      </c>
      <c r="L275" s="22">
        <v>0</v>
      </c>
      <c r="M275" s="25">
        <v>0</v>
      </c>
      <c r="N275" s="19">
        <v>0</v>
      </c>
      <c r="O275" s="19">
        <v>0</v>
      </c>
      <c r="P275" s="16">
        <v>0</v>
      </c>
      <c r="Q275" s="19">
        <v>0</v>
      </c>
      <c r="R275" s="16">
        <v>0</v>
      </c>
      <c r="S275" s="25">
        <v>0</v>
      </c>
      <c r="T275" s="22">
        <v>6.3182369591589164E-5</v>
      </c>
      <c r="U275" s="25">
        <v>0</v>
      </c>
      <c r="V275" s="22">
        <v>0</v>
      </c>
      <c r="W275" s="25">
        <v>0</v>
      </c>
    </row>
    <row r="276" spans="1:23" x14ac:dyDescent="0.2">
      <c r="A276" s="6" t="s">
        <v>667</v>
      </c>
      <c r="B276" s="19">
        <v>0</v>
      </c>
      <c r="C276" s="16">
        <v>0</v>
      </c>
      <c r="D276" s="19">
        <v>0</v>
      </c>
      <c r="E276" s="16">
        <v>0</v>
      </c>
      <c r="F276" s="19">
        <v>0</v>
      </c>
      <c r="G276" s="16">
        <v>0</v>
      </c>
      <c r="H276" s="22">
        <v>1.8926168364583266E-4</v>
      </c>
      <c r="I276" s="25">
        <v>0</v>
      </c>
      <c r="J276" s="22">
        <v>0</v>
      </c>
      <c r="K276" s="25">
        <v>2.6810370251213168E-5</v>
      </c>
      <c r="L276" s="22">
        <v>0</v>
      </c>
      <c r="M276" s="25">
        <v>0</v>
      </c>
      <c r="N276" s="19">
        <v>5.9764646820819615E-5</v>
      </c>
      <c r="O276" s="19">
        <v>0</v>
      </c>
      <c r="P276" s="16">
        <v>0</v>
      </c>
      <c r="Q276" s="19">
        <v>1.3344364674797832E-4</v>
      </c>
      <c r="R276" s="16">
        <v>0</v>
      </c>
      <c r="S276" s="25">
        <v>0</v>
      </c>
      <c r="T276" s="22">
        <v>0</v>
      </c>
      <c r="U276" s="25">
        <v>0</v>
      </c>
      <c r="V276" s="22">
        <v>0</v>
      </c>
      <c r="W276" s="25">
        <v>0</v>
      </c>
    </row>
    <row r="277" spans="1:23" x14ac:dyDescent="0.2">
      <c r="A277" s="6" t="s">
        <v>666</v>
      </c>
      <c r="B277" s="19">
        <v>0</v>
      </c>
      <c r="C277" s="16">
        <v>0</v>
      </c>
      <c r="D277" s="19">
        <v>0</v>
      </c>
      <c r="E277" s="16">
        <v>0</v>
      </c>
      <c r="F277" s="19">
        <v>0</v>
      </c>
      <c r="G277" s="16">
        <v>2.5829114577952269E-5</v>
      </c>
      <c r="H277" s="22">
        <v>2.0884047850574638E-4</v>
      </c>
      <c r="I277" s="25">
        <v>0</v>
      </c>
      <c r="J277" s="22">
        <v>0</v>
      </c>
      <c r="K277" s="25">
        <v>0</v>
      </c>
      <c r="L277" s="22">
        <v>0</v>
      </c>
      <c r="M277" s="25">
        <v>0</v>
      </c>
      <c r="N277" s="19">
        <v>0</v>
      </c>
      <c r="O277" s="19">
        <v>0</v>
      </c>
      <c r="P277" s="16">
        <v>0</v>
      </c>
      <c r="Q277" s="19">
        <v>2.6688729349595664E-5</v>
      </c>
      <c r="R277" s="16">
        <v>0</v>
      </c>
      <c r="S277" s="25">
        <v>0</v>
      </c>
      <c r="T277" s="22">
        <v>0</v>
      </c>
      <c r="U277" s="25">
        <v>0</v>
      </c>
      <c r="V277" s="22">
        <v>0</v>
      </c>
      <c r="W277" s="25">
        <v>0</v>
      </c>
    </row>
    <row r="278" spans="1:23" x14ac:dyDescent="0.2">
      <c r="A278" s="6" t="s">
        <v>665</v>
      </c>
      <c r="B278" s="19">
        <v>0</v>
      </c>
      <c r="C278" s="16">
        <v>0</v>
      </c>
      <c r="D278" s="19">
        <v>0</v>
      </c>
      <c r="E278" s="16">
        <v>0</v>
      </c>
      <c r="F278" s="19">
        <v>0</v>
      </c>
      <c r="G278" s="16">
        <v>0</v>
      </c>
      <c r="H278" s="22">
        <v>0</v>
      </c>
      <c r="I278" s="25">
        <v>1.931794766124047E-5</v>
      </c>
      <c r="J278" s="22">
        <v>0</v>
      </c>
      <c r="K278" s="25">
        <v>0</v>
      </c>
      <c r="L278" s="22">
        <v>0</v>
      </c>
      <c r="M278" s="25">
        <v>0</v>
      </c>
      <c r="N278" s="19">
        <v>0</v>
      </c>
      <c r="O278" s="19">
        <v>0</v>
      </c>
      <c r="P278" s="16">
        <v>0</v>
      </c>
      <c r="Q278" s="19">
        <v>0</v>
      </c>
      <c r="R278" s="16">
        <v>0</v>
      </c>
      <c r="S278" s="25">
        <v>0</v>
      </c>
      <c r="T278" s="22">
        <v>0</v>
      </c>
      <c r="U278" s="25">
        <v>0</v>
      </c>
      <c r="V278" s="22">
        <v>0</v>
      </c>
      <c r="W278" s="25">
        <v>0</v>
      </c>
    </row>
    <row r="279" spans="1:23" x14ac:dyDescent="0.2">
      <c r="A279" s="6" t="s">
        <v>664</v>
      </c>
      <c r="B279" s="19">
        <v>1.8509704373578719E-4</v>
      </c>
      <c r="C279" s="16">
        <v>1.3850031855073266E-5</v>
      </c>
      <c r="D279" s="19">
        <v>9.2378752886836021E-5</v>
      </c>
      <c r="E279" s="16">
        <v>0</v>
      </c>
      <c r="F279" s="19">
        <v>3.6619696819426749E-4</v>
      </c>
      <c r="G279" s="16">
        <v>1.6358439232703104E-4</v>
      </c>
      <c r="H279" s="22">
        <v>3.2631324766522872E-5</v>
      </c>
      <c r="I279" s="25">
        <v>1.6098289717700391E-4</v>
      </c>
      <c r="J279" s="22">
        <v>3.4662045060658575E-4</v>
      </c>
      <c r="K279" s="25">
        <v>2.2788814713531195E-4</v>
      </c>
      <c r="L279" s="22">
        <v>1.0451762044118732E-4</v>
      </c>
      <c r="M279" s="25">
        <v>5.3209178583305619E-5</v>
      </c>
      <c r="N279" s="19">
        <v>1.0578342487285071E-3</v>
      </c>
      <c r="O279" s="19">
        <v>0</v>
      </c>
      <c r="P279" s="16">
        <v>2.1986265050891738E-4</v>
      </c>
      <c r="Q279" s="19">
        <v>2.8023165817075448E-4</v>
      </c>
      <c r="R279" s="16">
        <v>2.0708664790985304E-4</v>
      </c>
      <c r="S279" s="25">
        <v>0</v>
      </c>
      <c r="T279" s="22">
        <v>1.3268297614233725E-4</v>
      </c>
      <c r="U279" s="25">
        <v>0</v>
      </c>
      <c r="V279" s="22">
        <v>5.6713991341663988E-5</v>
      </c>
      <c r="W279" s="25">
        <v>3.3793529775396665E-4</v>
      </c>
    </row>
    <row r="280" spans="1:23" x14ac:dyDescent="0.2">
      <c r="A280" s="6" t="s">
        <v>663</v>
      </c>
      <c r="B280" s="19">
        <v>0</v>
      </c>
      <c r="C280" s="16">
        <v>0</v>
      </c>
      <c r="D280" s="19">
        <v>0</v>
      </c>
      <c r="E280" s="16">
        <v>0</v>
      </c>
      <c r="F280" s="19">
        <v>0</v>
      </c>
      <c r="G280" s="16">
        <v>0</v>
      </c>
      <c r="H280" s="22">
        <v>0</v>
      </c>
      <c r="I280" s="25">
        <v>0</v>
      </c>
      <c r="J280" s="22">
        <v>0</v>
      </c>
      <c r="K280" s="25">
        <v>0</v>
      </c>
      <c r="L280" s="22">
        <v>0</v>
      </c>
      <c r="M280" s="25">
        <v>0</v>
      </c>
      <c r="N280" s="19">
        <v>0</v>
      </c>
      <c r="O280" s="19">
        <v>0</v>
      </c>
      <c r="P280" s="16">
        <v>0</v>
      </c>
      <c r="Q280" s="19">
        <v>0</v>
      </c>
      <c r="R280" s="16">
        <v>2.1422756680329623E-5</v>
      </c>
      <c r="S280" s="25">
        <v>0</v>
      </c>
      <c r="T280" s="22">
        <v>3.1591184795794582E-5</v>
      </c>
      <c r="U280" s="25">
        <v>0</v>
      </c>
      <c r="V280" s="22">
        <v>1.8904663780554662E-5</v>
      </c>
      <c r="W280" s="25">
        <v>0</v>
      </c>
    </row>
    <row r="281" spans="1:23" x14ac:dyDescent="0.2">
      <c r="A281" s="6" t="s">
        <v>662</v>
      </c>
      <c r="B281" s="19">
        <v>0</v>
      </c>
      <c r="C281" s="16">
        <v>0</v>
      </c>
      <c r="D281" s="19">
        <v>0</v>
      </c>
      <c r="E281" s="16">
        <v>0</v>
      </c>
      <c r="F281" s="19">
        <v>0</v>
      </c>
      <c r="G281" s="16">
        <v>0</v>
      </c>
      <c r="H281" s="22">
        <v>0</v>
      </c>
      <c r="I281" s="25">
        <v>0</v>
      </c>
      <c r="J281" s="22">
        <v>0</v>
      </c>
      <c r="K281" s="25">
        <v>0</v>
      </c>
      <c r="L281" s="22">
        <v>0</v>
      </c>
      <c r="M281" s="25">
        <v>3.3255736614566014E-5</v>
      </c>
      <c r="N281" s="19">
        <v>0</v>
      </c>
      <c r="O281" s="19">
        <v>0</v>
      </c>
      <c r="P281" s="16">
        <v>0</v>
      </c>
      <c r="Q281" s="19">
        <v>0</v>
      </c>
      <c r="R281" s="16">
        <v>0</v>
      </c>
      <c r="S281" s="25">
        <v>0</v>
      </c>
      <c r="T281" s="22">
        <v>0</v>
      </c>
      <c r="U281" s="25">
        <v>0</v>
      </c>
      <c r="V281" s="22">
        <v>0</v>
      </c>
      <c r="W281" s="25">
        <v>0</v>
      </c>
    </row>
    <row r="282" spans="1:23" x14ac:dyDescent="0.2">
      <c r="A282" s="6" t="s">
        <v>661</v>
      </c>
      <c r="B282" s="19">
        <v>5.4206991379766249E-4</v>
      </c>
      <c r="C282" s="16">
        <v>2.562255893188555E-4</v>
      </c>
      <c r="D282" s="19">
        <v>9.9484810801208018E-4</v>
      </c>
      <c r="E282" s="16">
        <v>5.502156709574432E-4</v>
      </c>
      <c r="F282" s="19">
        <v>0</v>
      </c>
      <c r="G282" s="16">
        <v>8.3514137135379002E-4</v>
      </c>
      <c r="H282" s="22">
        <v>5.7431131589080254E-4</v>
      </c>
      <c r="I282" s="25">
        <v>0</v>
      </c>
      <c r="J282" s="22">
        <v>0</v>
      </c>
      <c r="K282" s="25">
        <v>0</v>
      </c>
      <c r="L282" s="22">
        <v>1.2911000172146668E-4</v>
      </c>
      <c r="M282" s="25">
        <v>0</v>
      </c>
      <c r="N282" s="19">
        <v>8.6061091421980244E-4</v>
      </c>
      <c r="O282" s="19">
        <v>9.4791222332811975E-4</v>
      </c>
      <c r="P282" s="16">
        <v>1.1963114807102858E-3</v>
      </c>
      <c r="Q282" s="19">
        <v>8.4069497451226343E-4</v>
      </c>
      <c r="R282" s="16">
        <v>1.0425741584427085E-3</v>
      </c>
      <c r="S282" s="25">
        <v>0</v>
      </c>
      <c r="T282" s="22">
        <v>0</v>
      </c>
      <c r="U282" s="25">
        <v>0</v>
      </c>
      <c r="V282" s="22">
        <v>0</v>
      </c>
      <c r="W282" s="25">
        <v>0</v>
      </c>
    </row>
    <row r="283" spans="1:23" x14ac:dyDescent="0.2">
      <c r="A283" s="6" t="s">
        <v>660</v>
      </c>
      <c r="B283" s="19">
        <v>2.2476069596488445E-4</v>
      </c>
      <c r="C283" s="16">
        <v>1.3850031855073266E-5</v>
      </c>
      <c r="D283" s="19">
        <v>0</v>
      </c>
      <c r="E283" s="16">
        <v>0</v>
      </c>
      <c r="F283" s="19">
        <v>0</v>
      </c>
      <c r="G283" s="16">
        <v>0</v>
      </c>
      <c r="H283" s="22">
        <v>5.2210119626436595E-5</v>
      </c>
      <c r="I283" s="25">
        <v>0</v>
      </c>
      <c r="J283" s="22">
        <v>0</v>
      </c>
      <c r="K283" s="25">
        <v>0</v>
      </c>
      <c r="L283" s="22">
        <v>6.7629048520768267E-5</v>
      </c>
      <c r="M283" s="25">
        <v>4.6558031260392418E-5</v>
      </c>
      <c r="N283" s="19">
        <v>0</v>
      </c>
      <c r="O283" s="19">
        <v>2.9227293552617025E-4</v>
      </c>
      <c r="P283" s="16">
        <v>0</v>
      </c>
      <c r="Q283" s="19">
        <v>3.2026475219514797E-4</v>
      </c>
      <c r="R283" s="16">
        <v>1.7138205344263701E-4</v>
      </c>
      <c r="S283" s="25">
        <v>0</v>
      </c>
      <c r="T283" s="22">
        <v>6.128689850384149E-4</v>
      </c>
      <c r="U283" s="25">
        <v>3.1830914183855358E-5</v>
      </c>
      <c r="V283" s="22">
        <v>6.9317100528700436E-5</v>
      </c>
      <c r="W283" s="25">
        <v>1.6484648670925202E-5</v>
      </c>
    </row>
    <row r="284" spans="1:23" x14ac:dyDescent="0.2">
      <c r="A284" s="6" t="s">
        <v>659</v>
      </c>
      <c r="B284" s="19">
        <v>0</v>
      </c>
      <c r="C284" s="16">
        <v>0</v>
      </c>
      <c r="D284" s="19">
        <v>0</v>
      </c>
      <c r="E284" s="16">
        <v>0</v>
      </c>
      <c r="F284" s="19">
        <v>0</v>
      </c>
      <c r="G284" s="16">
        <v>0</v>
      </c>
      <c r="H284" s="22">
        <v>4.764173415912339E-4</v>
      </c>
      <c r="I284" s="25">
        <v>0</v>
      </c>
      <c r="J284" s="22">
        <v>0</v>
      </c>
      <c r="K284" s="25">
        <v>0</v>
      </c>
      <c r="L284" s="22">
        <v>2.9510857536335243E-4</v>
      </c>
      <c r="M284" s="25">
        <v>1.7958097771865646E-4</v>
      </c>
      <c r="N284" s="19">
        <v>0</v>
      </c>
      <c r="O284" s="19">
        <v>0</v>
      </c>
      <c r="P284" s="16">
        <v>0</v>
      </c>
      <c r="Q284" s="19">
        <v>0</v>
      </c>
      <c r="R284" s="16">
        <v>0</v>
      </c>
      <c r="S284" s="25">
        <v>0</v>
      </c>
      <c r="T284" s="22">
        <v>2.9063890012131019E-4</v>
      </c>
      <c r="U284" s="25">
        <v>0</v>
      </c>
      <c r="V284" s="22">
        <v>0</v>
      </c>
      <c r="W284" s="25">
        <v>0</v>
      </c>
    </row>
    <row r="285" spans="1:23" x14ac:dyDescent="0.2">
      <c r="A285" s="6" t="s">
        <v>658</v>
      </c>
      <c r="B285" s="19">
        <v>0</v>
      </c>
      <c r="C285" s="16">
        <v>0</v>
      </c>
      <c r="D285" s="19">
        <v>0</v>
      </c>
      <c r="E285" s="16">
        <v>0</v>
      </c>
      <c r="F285" s="19">
        <v>1.8309848409713375E-4</v>
      </c>
      <c r="G285" s="16">
        <v>0</v>
      </c>
      <c r="H285" s="22">
        <v>0</v>
      </c>
      <c r="I285" s="25">
        <v>0</v>
      </c>
      <c r="J285" s="22">
        <v>0</v>
      </c>
      <c r="K285" s="25">
        <v>0</v>
      </c>
      <c r="L285" s="22">
        <v>0</v>
      </c>
      <c r="M285" s="25">
        <v>0</v>
      </c>
      <c r="N285" s="19">
        <v>0</v>
      </c>
      <c r="O285" s="19">
        <v>7.1093416749608989E-5</v>
      </c>
      <c r="P285" s="16">
        <v>0</v>
      </c>
      <c r="Q285" s="19">
        <v>0</v>
      </c>
      <c r="R285" s="16">
        <v>0</v>
      </c>
      <c r="S285" s="25">
        <v>0</v>
      </c>
      <c r="T285" s="22">
        <v>3.2854832187626361E-4</v>
      </c>
      <c r="U285" s="25">
        <v>0</v>
      </c>
      <c r="V285" s="22">
        <v>0</v>
      </c>
      <c r="W285" s="25">
        <v>0</v>
      </c>
    </row>
    <row r="286" spans="1:23" x14ac:dyDescent="0.2">
      <c r="A286" s="6" t="s">
        <v>657</v>
      </c>
      <c r="B286" s="19">
        <v>0</v>
      </c>
      <c r="C286" s="16">
        <v>0</v>
      </c>
      <c r="D286" s="19">
        <v>0</v>
      </c>
      <c r="E286" s="16">
        <v>0</v>
      </c>
      <c r="F286" s="19">
        <v>0</v>
      </c>
      <c r="G286" s="16">
        <v>0</v>
      </c>
      <c r="H286" s="22">
        <v>6.5262649533045743E-5</v>
      </c>
      <c r="I286" s="25">
        <v>0</v>
      </c>
      <c r="J286" s="22">
        <v>0</v>
      </c>
      <c r="K286" s="25">
        <v>0</v>
      </c>
      <c r="L286" s="22">
        <v>0</v>
      </c>
      <c r="M286" s="25">
        <v>0</v>
      </c>
      <c r="N286" s="19">
        <v>0</v>
      </c>
      <c r="O286" s="19">
        <v>0</v>
      </c>
      <c r="P286" s="16">
        <v>0</v>
      </c>
      <c r="Q286" s="19">
        <v>0</v>
      </c>
      <c r="R286" s="16">
        <v>0</v>
      </c>
      <c r="S286" s="25">
        <v>0</v>
      </c>
      <c r="T286" s="22">
        <v>6.9500606550748073E-5</v>
      </c>
      <c r="U286" s="25">
        <v>0</v>
      </c>
      <c r="V286" s="22">
        <v>0</v>
      </c>
      <c r="W286" s="25">
        <v>0</v>
      </c>
    </row>
    <row r="287" spans="1:23" x14ac:dyDescent="0.2">
      <c r="A287" s="6" t="s">
        <v>656</v>
      </c>
      <c r="B287" s="19">
        <v>4.4357184409540423E-3</v>
      </c>
      <c r="C287" s="16">
        <v>4.7505609262901297E-3</v>
      </c>
      <c r="D287" s="19">
        <v>6.054361343044946E-3</v>
      </c>
      <c r="E287" s="16">
        <v>6.1814353156947324E-3</v>
      </c>
      <c r="F287" s="19">
        <v>2.5023459493274947E-3</v>
      </c>
      <c r="G287" s="16">
        <v>6.1387195646933233E-3</v>
      </c>
      <c r="H287" s="22">
        <v>5.1296442532973953E-3</v>
      </c>
      <c r="I287" s="25">
        <v>2.717391304347826E-3</v>
      </c>
      <c r="J287" s="22">
        <v>1.679776029862685E-3</v>
      </c>
      <c r="K287" s="25">
        <v>1.2265744389930026E-3</v>
      </c>
      <c r="L287" s="22">
        <v>2.7174581314708709E-3</v>
      </c>
      <c r="M287" s="25">
        <v>2.879946790821417E-3</v>
      </c>
      <c r="N287" s="19">
        <v>6.3589584217352071E-3</v>
      </c>
      <c r="O287" s="19">
        <v>5.6953726084964544E-3</v>
      </c>
      <c r="P287" s="16">
        <v>4.0415928402374518E-3</v>
      </c>
      <c r="Q287" s="19">
        <v>4.3636072486588915E-3</v>
      </c>
      <c r="R287" s="16">
        <v>4.3202559305331413E-3</v>
      </c>
      <c r="S287" s="25">
        <v>2.4538375830021834E-3</v>
      </c>
      <c r="T287" s="22">
        <v>4.2774464213505871E-3</v>
      </c>
      <c r="U287" s="25">
        <v>3.2594856124267889E-3</v>
      </c>
      <c r="V287" s="22">
        <v>4.2220415776572087E-3</v>
      </c>
      <c r="W287" s="25">
        <v>2.8765711930764473E-3</v>
      </c>
    </row>
    <row r="288" spans="1:23" x14ac:dyDescent="0.2">
      <c r="A288" s="6" t="s">
        <v>655</v>
      </c>
      <c r="B288" s="19">
        <v>0</v>
      </c>
      <c r="C288" s="16">
        <v>0</v>
      </c>
      <c r="D288" s="19">
        <v>0</v>
      </c>
      <c r="E288" s="16">
        <v>0</v>
      </c>
      <c r="F288" s="19">
        <v>0</v>
      </c>
      <c r="G288" s="16">
        <v>0</v>
      </c>
      <c r="H288" s="22">
        <v>0</v>
      </c>
      <c r="I288" s="25">
        <v>0</v>
      </c>
      <c r="J288" s="22">
        <v>0</v>
      </c>
      <c r="K288" s="25">
        <v>0</v>
      </c>
      <c r="L288" s="22">
        <v>0</v>
      </c>
      <c r="M288" s="25">
        <v>0</v>
      </c>
      <c r="N288" s="19">
        <v>0</v>
      </c>
      <c r="O288" s="19">
        <v>0</v>
      </c>
      <c r="P288" s="16">
        <v>0</v>
      </c>
      <c r="Q288" s="19">
        <v>0</v>
      </c>
      <c r="R288" s="16">
        <v>2.8563675573772831E-5</v>
      </c>
      <c r="S288" s="25">
        <v>0</v>
      </c>
      <c r="T288" s="22">
        <v>0</v>
      </c>
      <c r="U288" s="25">
        <v>0</v>
      </c>
      <c r="V288" s="22">
        <v>0</v>
      </c>
      <c r="W288" s="25">
        <v>0</v>
      </c>
    </row>
    <row r="289" spans="1:23" x14ac:dyDescent="0.2">
      <c r="A289" s="6" t="s">
        <v>654</v>
      </c>
      <c r="B289" s="19">
        <v>3.0408800042307899E-4</v>
      </c>
      <c r="C289" s="16">
        <v>3.4625079637683168E-5</v>
      </c>
      <c r="D289" s="19">
        <v>2.0607567951678806E-4</v>
      </c>
      <c r="E289" s="16">
        <v>0</v>
      </c>
      <c r="F289" s="19">
        <v>0</v>
      </c>
      <c r="G289" s="16">
        <v>0</v>
      </c>
      <c r="H289" s="22">
        <v>1.1747276915948234E-4</v>
      </c>
      <c r="I289" s="25">
        <v>1.0946837008036267E-4</v>
      </c>
      <c r="J289" s="22">
        <v>0</v>
      </c>
      <c r="K289" s="25">
        <v>0</v>
      </c>
      <c r="L289" s="22">
        <v>2.4592381280279371E-4</v>
      </c>
      <c r="M289" s="25">
        <v>4.323245759893582E-4</v>
      </c>
      <c r="N289" s="19">
        <v>0</v>
      </c>
      <c r="O289" s="19">
        <v>0</v>
      </c>
      <c r="P289" s="16">
        <v>3.2332742721899616E-5</v>
      </c>
      <c r="Q289" s="19">
        <v>0</v>
      </c>
      <c r="R289" s="16">
        <v>0</v>
      </c>
      <c r="S289" s="25">
        <v>0</v>
      </c>
      <c r="T289" s="22">
        <v>8.024160938131824E-4</v>
      </c>
      <c r="U289" s="25">
        <v>0</v>
      </c>
      <c r="V289" s="22">
        <v>1.0082487349629153E-4</v>
      </c>
      <c r="W289" s="25">
        <v>3.2969297341850403E-5</v>
      </c>
    </row>
    <row r="290" spans="1:23" x14ac:dyDescent="0.2">
      <c r="A290" s="6" t="s">
        <v>653</v>
      </c>
      <c r="B290" s="19">
        <v>0</v>
      </c>
      <c r="C290" s="16">
        <v>0</v>
      </c>
      <c r="D290" s="19">
        <v>0</v>
      </c>
      <c r="E290" s="16">
        <v>0</v>
      </c>
      <c r="F290" s="19">
        <v>0</v>
      </c>
      <c r="G290" s="16">
        <v>0</v>
      </c>
      <c r="H290" s="22">
        <v>0</v>
      </c>
      <c r="I290" s="25">
        <v>0</v>
      </c>
      <c r="J290" s="22">
        <v>0</v>
      </c>
      <c r="K290" s="25">
        <v>0</v>
      </c>
      <c r="L290" s="22">
        <v>3.6888571920419054E-5</v>
      </c>
      <c r="M290" s="25">
        <v>0</v>
      </c>
      <c r="N290" s="19">
        <v>0</v>
      </c>
      <c r="O290" s="19">
        <v>0</v>
      </c>
      <c r="P290" s="16">
        <v>0</v>
      </c>
      <c r="Q290" s="19">
        <v>0</v>
      </c>
      <c r="R290" s="16">
        <v>0</v>
      </c>
      <c r="S290" s="25">
        <v>0</v>
      </c>
      <c r="T290" s="22">
        <v>1.4531945006065507E-4</v>
      </c>
      <c r="U290" s="25">
        <v>0</v>
      </c>
      <c r="V290" s="22">
        <v>0</v>
      </c>
      <c r="W290" s="25">
        <v>0</v>
      </c>
    </row>
    <row r="291" spans="1:23" x14ac:dyDescent="0.2">
      <c r="A291" s="6" t="s">
        <v>652</v>
      </c>
      <c r="B291" s="19">
        <v>9.9159130572743133E-5</v>
      </c>
      <c r="C291" s="16">
        <v>5.5400127420293065E-5</v>
      </c>
      <c r="D291" s="19">
        <v>0</v>
      </c>
      <c r="E291" s="16">
        <v>0</v>
      </c>
      <c r="F291" s="19">
        <v>0</v>
      </c>
      <c r="G291" s="16">
        <v>2.4968144092020526E-4</v>
      </c>
      <c r="H291" s="22">
        <v>2.6105059813218297E-5</v>
      </c>
      <c r="I291" s="25">
        <v>1.1590768596744281E-4</v>
      </c>
      <c r="J291" s="22">
        <v>0</v>
      </c>
      <c r="K291" s="25">
        <v>0</v>
      </c>
      <c r="L291" s="22">
        <v>3.3814524260384135E-4</v>
      </c>
      <c r="M291" s="25">
        <v>4.2567342866644495E-4</v>
      </c>
      <c r="N291" s="19">
        <v>0</v>
      </c>
      <c r="O291" s="19">
        <v>0</v>
      </c>
      <c r="P291" s="16">
        <v>0</v>
      </c>
      <c r="Q291" s="19">
        <v>3.2026475219514797E-4</v>
      </c>
      <c r="R291" s="16">
        <v>1.1425470229509134E-4</v>
      </c>
      <c r="S291" s="25">
        <v>0</v>
      </c>
      <c r="T291" s="22">
        <v>4.6754953497775978E-4</v>
      </c>
      <c r="U291" s="25">
        <v>2.3554876496052966E-4</v>
      </c>
      <c r="V291" s="22">
        <v>0</v>
      </c>
      <c r="W291" s="25">
        <v>0</v>
      </c>
    </row>
    <row r="292" spans="1:23" x14ac:dyDescent="0.2">
      <c r="A292" s="6" t="s">
        <v>651</v>
      </c>
      <c r="B292" s="19">
        <v>9.7837008831773236E-4</v>
      </c>
      <c r="C292" s="16">
        <v>4.15500955652198E-5</v>
      </c>
      <c r="D292" s="19">
        <v>1.3572570616450525E-3</v>
      </c>
      <c r="E292" s="16">
        <v>1.0460890534252625E-3</v>
      </c>
      <c r="F292" s="19">
        <v>6.4847379784401535E-4</v>
      </c>
      <c r="G292" s="16">
        <v>5.2260908496056758E-3</v>
      </c>
      <c r="H292" s="22">
        <v>1.592408648606316E-3</v>
      </c>
      <c r="I292" s="25">
        <v>9.0150422419122192E-5</v>
      </c>
      <c r="J292" s="22">
        <v>8.5321957072390347E-4</v>
      </c>
      <c r="K292" s="25">
        <v>1.809699991956889E-4</v>
      </c>
      <c r="L292" s="22">
        <v>2.5207190812286356E-4</v>
      </c>
      <c r="M292" s="25">
        <v>1.3302294645826406E-4</v>
      </c>
      <c r="N292" s="19">
        <v>3.9863019429486682E-3</v>
      </c>
      <c r="O292" s="19">
        <v>5.4504952841366886E-3</v>
      </c>
      <c r="P292" s="16">
        <v>1.584304393373081E-3</v>
      </c>
      <c r="Q292" s="19">
        <v>1.9749659718700792E-3</v>
      </c>
      <c r="R292" s="16">
        <v>6.9981005155743436E-4</v>
      </c>
      <c r="S292" s="25">
        <v>1.3525089040169515E-4</v>
      </c>
      <c r="T292" s="22">
        <v>5.3705014152850784E-4</v>
      </c>
      <c r="U292" s="25">
        <v>3.9470333587980649E-4</v>
      </c>
      <c r="V292" s="22">
        <v>1.3296280192323447E-3</v>
      </c>
      <c r="W292" s="25">
        <v>2.8848135174119102E-4</v>
      </c>
    </row>
    <row r="293" spans="1:23" x14ac:dyDescent="0.2">
      <c r="A293" s="6" t="s">
        <v>650</v>
      </c>
      <c r="B293" s="19">
        <v>1.4543339150668996E-4</v>
      </c>
      <c r="C293" s="16">
        <v>1.454253344782693E-4</v>
      </c>
      <c r="D293" s="19">
        <v>0</v>
      </c>
      <c r="E293" s="16">
        <v>4.0756716367218015E-5</v>
      </c>
      <c r="F293" s="19">
        <v>3.4330965768212575E-4</v>
      </c>
      <c r="G293" s="16">
        <v>1.8080380204566588E-4</v>
      </c>
      <c r="H293" s="22">
        <v>1.4749358794468336E-3</v>
      </c>
      <c r="I293" s="25">
        <v>5.7953842983721407E-5</v>
      </c>
      <c r="J293" s="22">
        <v>5.3326223170243967E-5</v>
      </c>
      <c r="K293" s="25">
        <v>0</v>
      </c>
      <c r="L293" s="22">
        <v>2.5207190812286351E-4</v>
      </c>
      <c r="M293" s="25">
        <v>1.4632524110409046E-4</v>
      </c>
      <c r="N293" s="19">
        <v>0</v>
      </c>
      <c r="O293" s="19">
        <v>1.8168317613788962E-4</v>
      </c>
      <c r="P293" s="16">
        <v>9.0531679621318916E-5</v>
      </c>
      <c r="Q293" s="19">
        <v>2.2685419947156315E-4</v>
      </c>
      <c r="R293" s="16">
        <v>1.4995929676230737E-4</v>
      </c>
      <c r="S293" s="25">
        <v>0</v>
      </c>
      <c r="T293" s="22">
        <v>3.7277598059037604E-4</v>
      </c>
      <c r="U293" s="25">
        <v>0</v>
      </c>
      <c r="V293" s="22">
        <v>3.5918861183053863E-4</v>
      </c>
      <c r="W293" s="25">
        <v>0</v>
      </c>
    </row>
    <row r="294" spans="1:23" x14ac:dyDescent="0.2">
      <c r="A294" s="6" t="s">
        <v>649</v>
      </c>
      <c r="B294" s="19">
        <v>2.5979692210058706E-3</v>
      </c>
      <c r="C294" s="16">
        <v>3.2686075177972909E-3</v>
      </c>
      <c r="D294" s="19">
        <v>3.7519985787884172E-3</v>
      </c>
      <c r="E294" s="16">
        <v>4.0620860645993956E-3</v>
      </c>
      <c r="F294" s="19">
        <v>5.546358247442343E-3</v>
      </c>
      <c r="G294" s="16">
        <v>5.983744877225609E-3</v>
      </c>
      <c r="H294" s="22">
        <v>9.593609481357724E-4</v>
      </c>
      <c r="I294" s="25">
        <v>1.0238512260457449E-3</v>
      </c>
      <c r="J294" s="22">
        <v>1.2798293560858552E-3</v>
      </c>
      <c r="K294" s="25">
        <v>7.2387999678275559E-4</v>
      </c>
      <c r="L294" s="22">
        <v>1.7091704989794163E-3</v>
      </c>
      <c r="M294" s="25">
        <v>1.7159960093116062E-3</v>
      </c>
      <c r="N294" s="19">
        <v>2.7671031478039478E-3</v>
      </c>
      <c r="O294" s="19">
        <v>2.7015498364851408E-3</v>
      </c>
      <c r="P294" s="16">
        <v>2.6124856119294883E-3</v>
      </c>
      <c r="Q294" s="19">
        <v>4.4436734367076782E-3</v>
      </c>
      <c r="R294" s="16">
        <v>3.9917736614347539E-3</v>
      </c>
      <c r="S294" s="25">
        <v>4.7015785711065455E-4</v>
      </c>
      <c r="T294" s="22">
        <v>2.2177011726647799E-3</v>
      </c>
      <c r="U294" s="25">
        <v>1.1268143621084798E-3</v>
      </c>
      <c r="V294" s="22">
        <v>8.7591608849903256E-4</v>
      </c>
      <c r="W294" s="25">
        <v>5.0278178446321866E-4</v>
      </c>
    </row>
    <row r="295" spans="1:23" x14ac:dyDescent="0.2">
      <c r="A295" s="6" t="s">
        <v>648</v>
      </c>
      <c r="B295" s="19">
        <v>3.5961711354381511E-3</v>
      </c>
      <c r="C295" s="16">
        <v>2.7492313232320431E-3</v>
      </c>
      <c r="D295" s="19">
        <v>4.6118315864274294E-3</v>
      </c>
      <c r="E295" s="16">
        <v>3.7699962639676666E-3</v>
      </c>
      <c r="F295" s="19">
        <v>2.7159608474408175E-3</v>
      </c>
      <c r="G295" s="16">
        <v>6.6380824465337336E-3</v>
      </c>
      <c r="H295" s="22">
        <v>4.3791237836673701E-3</v>
      </c>
      <c r="I295" s="25">
        <v>6.052956933855347E-4</v>
      </c>
      <c r="J295" s="22">
        <v>2.2330355952539663E-3</v>
      </c>
      <c r="K295" s="25">
        <v>8.1771629266200164E-4</v>
      </c>
      <c r="L295" s="22">
        <v>9.0991810737033681E-4</v>
      </c>
      <c r="M295" s="25">
        <v>5.3874293315596942E-4</v>
      </c>
      <c r="N295" s="19">
        <v>3.3229143632375704E-3</v>
      </c>
      <c r="O295" s="19">
        <v>3.6257642542300585E-3</v>
      </c>
      <c r="P295" s="16">
        <v>5.1473726413264181E-3</v>
      </c>
      <c r="Q295" s="19">
        <v>4.723905094878432E-3</v>
      </c>
      <c r="R295" s="16">
        <v>5.4699438723774972E-3</v>
      </c>
      <c r="S295" s="25">
        <v>5.3456304301622366E-4</v>
      </c>
      <c r="T295" s="22">
        <v>5.3705014152850784E-4</v>
      </c>
      <c r="U295" s="25">
        <v>6.8118156353450476E-4</v>
      </c>
      <c r="V295" s="22">
        <v>2.249654989886005E-3</v>
      </c>
      <c r="W295" s="25">
        <v>7.2532454152070887E-4</v>
      </c>
    </row>
    <row r="296" spans="1:23" x14ac:dyDescent="0.2">
      <c r="A296" s="6" t="s">
        <v>647</v>
      </c>
      <c r="B296" s="19">
        <v>6.6106087048495429E-4</v>
      </c>
      <c r="C296" s="16">
        <v>0</v>
      </c>
      <c r="D296" s="19">
        <v>3.8372712737608813E-4</v>
      </c>
      <c r="E296" s="16">
        <v>2.2416194001969908E-4</v>
      </c>
      <c r="F296" s="19">
        <v>7.0187752237234596E-4</v>
      </c>
      <c r="G296" s="16">
        <v>8.6958019079105971E-4</v>
      </c>
      <c r="H296" s="22">
        <v>1.0376761275754272E-3</v>
      </c>
      <c r="I296" s="25">
        <v>5.7953842983721407E-5</v>
      </c>
      <c r="J296" s="22">
        <v>2.6663111585121981E-4</v>
      </c>
      <c r="K296" s="25">
        <v>0</v>
      </c>
      <c r="L296" s="22">
        <v>4.1192238644467943E-4</v>
      </c>
      <c r="M296" s="25">
        <v>3.1925507149983373E-4</v>
      </c>
      <c r="N296" s="19">
        <v>1.0040460665897695E-3</v>
      </c>
      <c r="O296" s="19">
        <v>2.4487732435976432E-4</v>
      </c>
      <c r="P296" s="16">
        <v>5.6258972336105319E-4</v>
      </c>
      <c r="Q296" s="19">
        <v>1.1609597267074113E-3</v>
      </c>
      <c r="R296" s="16">
        <v>3.9989145803281972E-4</v>
      </c>
      <c r="S296" s="25">
        <v>7.0845704496126031E-5</v>
      </c>
      <c r="T296" s="22">
        <v>1.9586534573392641E-4</v>
      </c>
      <c r="U296" s="25">
        <v>1.5278838808250572E-4</v>
      </c>
      <c r="V296" s="22">
        <v>2.7096684752128349E-4</v>
      </c>
      <c r="W296" s="25">
        <v>6.5938594683700807E-5</v>
      </c>
    </row>
    <row r="297" spans="1:23" x14ac:dyDescent="0.2">
      <c r="A297" s="6" t="s">
        <v>646</v>
      </c>
      <c r="B297" s="19">
        <v>3.3053043524247713E-5</v>
      </c>
      <c r="C297" s="16">
        <v>0</v>
      </c>
      <c r="D297" s="19">
        <v>0</v>
      </c>
      <c r="E297" s="16">
        <v>2.5812587032571411E-4</v>
      </c>
      <c r="F297" s="19">
        <v>8.392013854451963E-5</v>
      </c>
      <c r="G297" s="16">
        <v>2.0663291662361815E-4</v>
      </c>
      <c r="H297" s="22">
        <v>3.9157589719827446E-5</v>
      </c>
      <c r="I297" s="25">
        <v>0</v>
      </c>
      <c r="J297" s="22">
        <v>1.9997333688841487E-5</v>
      </c>
      <c r="K297" s="25">
        <v>2.6810370251213168E-5</v>
      </c>
      <c r="L297" s="22">
        <v>2.0288714556230479E-4</v>
      </c>
      <c r="M297" s="25">
        <v>5.9195211173927503E-4</v>
      </c>
      <c r="N297" s="19">
        <v>0</v>
      </c>
      <c r="O297" s="19">
        <v>6.7143782485741825E-4</v>
      </c>
      <c r="P297" s="16">
        <v>4.5265839810659458E-5</v>
      </c>
      <c r="Q297" s="19">
        <v>1.6013237609757399E-4</v>
      </c>
      <c r="R297" s="16">
        <v>1.0711378340164812E-4</v>
      </c>
      <c r="S297" s="25">
        <v>0</v>
      </c>
      <c r="T297" s="22">
        <v>1.5163768701981399E-4</v>
      </c>
      <c r="U297" s="25">
        <v>7.6394194041252861E-5</v>
      </c>
      <c r="V297" s="22">
        <v>0</v>
      </c>
      <c r="W297" s="25">
        <v>0</v>
      </c>
    </row>
    <row r="298" spans="1:23" x14ac:dyDescent="0.2">
      <c r="A298" s="6" t="s">
        <v>645</v>
      </c>
      <c r="B298" s="19">
        <v>3.3714104394732668E-4</v>
      </c>
      <c r="C298" s="16">
        <v>9.002520705797624E-5</v>
      </c>
      <c r="D298" s="19">
        <v>1.0659086871558002E-4</v>
      </c>
      <c r="E298" s="16">
        <v>5.4342288489624017E-5</v>
      </c>
      <c r="F298" s="19">
        <v>0</v>
      </c>
      <c r="G298" s="16">
        <v>1.2914557288976134E-4</v>
      </c>
      <c r="H298" s="22">
        <v>0</v>
      </c>
      <c r="I298" s="25">
        <v>0</v>
      </c>
      <c r="J298" s="22">
        <v>0</v>
      </c>
      <c r="K298" s="25">
        <v>0</v>
      </c>
      <c r="L298" s="22">
        <v>0</v>
      </c>
      <c r="M298" s="25">
        <v>0</v>
      </c>
      <c r="N298" s="19">
        <v>0</v>
      </c>
      <c r="O298" s="19">
        <v>2.6067586141523296E-4</v>
      </c>
      <c r="P298" s="16">
        <v>0</v>
      </c>
      <c r="Q298" s="19">
        <v>4.0033094024393497E-5</v>
      </c>
      <c r="R298" s="16">
        <v>0</v>
      </c>
      <c r="S298" s="25">
        <v>0</v>
      </c>
      <c r="T298" s="22">
        <v>0</v>
      </c>
      <c r="U298" s="25">
        <v>0</v>
      </c>
      <c r="V298" s="22">
        <v>0</v>
      </c>
      <c r="W298" s="25">
        <v>0</v>
      </c>
    </row>
    <row r="299" spans="1:23" x14ac:dyDescent="0.2">
      <c r="A299" s="6" t="s">
        <v>644</v>
      </c>
      <c r="B299" s="19">
        <v>0</v>
      </c>
      <c r="C299" s="16">
        <v>1.2465028669565939E-4</v>
      </c>
      <c r="D299" s="19">
        <v>0</v>
      </c>
      <c r="E299" s="16">
        <v>0</v>
      </c>
      <c r="F299" s="19">
        <v>1.4495296657689755E-4</v>
      </c>
      <c r="G299" s="16">
        <v>0</v>
      </c>
      <c r="H299" s="22">
        <v>0</v>
      </c>
      <c r="I299" s="25">
        <v>0</v>
      </c>
      <c r="J299" s="22">
        <v>0</v>
      </c>
      <c r="K299" s="25">
        <v>0</v>
      </c>
      <c r="L299" s="22">
        <v>8.6073334480977787E-5</v>
      </c>
      <c r="M299" s="25">
        <v>0</v>
      </c>
      <c r="N299" s="19">
        <v>0</v>
      </c>
      <c r="O299" s="19">
        <v>0</v>
      </c>
      <c r="P299" s="16">
        <v>0</v>
      </c>
      <c r="Q299" s="19">
        <v>0</v>
      </c>
      <c r="R299" s="16">
        <v>0</v>
      </c>
      <c r="S299" s="25">
        <v>0</v>
      </c>
      <c r="T299" s="22">
        <v>0</v>
      </c>
      <c r="U299" s="25">
        <v>0</v>
      </c>
      <c r="V299" s="22">
        <v>0</v>
      </c>
      <c r="W299" s="25">
        <v>0</v>
      </c>
    </row>
    <row r="300" spans="1:23" x14ac:dyDescent="0.2">
      <c r="A300" s="6" t="s">
        <v>643</v>
      </c>
      <c r="B300" s="19">
        <v>4.5811518324607326E-3</v>
      </c>
      <c r="C300" s="16">
        <v>1.6689288385363286E-3</v>
      </c>
      <c r="D300" s="19">
        <v>1.4283176407887724E-3</v>
      </c>
      <c r="E300" s="16">
        <v>2.5540875590123286E-3</v>
      </c>
      <c r="F300" s="19">
        <v>3.6543405784386276E-3</v>
      </c>
      <c r="G300" s="16">
        <v>4.2618039053621236E-3</v>
      </c>
      <c r="H300" s="22">
        <v>4.4248076383405013E-3</v>
      </c>
      <c r="I300" s="25">
        <v>2.5177725118483412E-3</v>
      </c>
      <c r="J300" s="22">
        <v>2.3796827089721368E-3</v>
      </c>
      <c r="K300" s="25">
        <v>1.6622429555752164E-3</v>
      </c>
      <c r="L300" s="22">
        <v>6.0804662715490745E-3</v>
      </c>
      <c r="M300" s="25">
        <v>5.6468240771533089E-3</v>
      </c>
      <c r="N300" s="19">
        <v>1.5180220292488182E-3</v>
      </c>
      <c r="O300" s="19">
        <v>1.5166595573249918E-3</v>
      </c>
      <c r="P300" s="16">
        <v>1.0734470583670672E-3</v>
      </c>
      <c r="Q300" s="19">
        <v>2.2551976300408338E-3</v>
      </c>
      <c r="R300" s="16">
        <v>1.435324697582085E-3</v>
      </c>
      <c r="S300" s="25">
        <v>8.4370793536295546E-4</v>
      </c>
      <c r="T300" s="22">
        <v>6.2045086938940551E-3</v>
      </c>
      <c r="U300" s="25">
        <v>1.9989814107461167E-3</v>
      </c>
      <c r="V300" s="22">
        <v>6.3015545935182207E-4</v>
      </c>
      <c r="W300" s="25">
        <v>1.796826705130847E-3</v>
      </c>
    </row>
    <row r="301" spans="1:23" x14ac:dyDescent="0.2">
      <c r="A301" s="6" t="s">
        <v>642</v>
      </c>
      <c r="B301" s="19">
        <v>0</v>
      </c>
      <c r="C301" s="16">
        <v>0</v>
      </c>
      <c r="D301" s="19">
        <v>0</v>
      </c>
      <c r="E301" s="16">
        <v>0</v>
      </c>
      <c r="F301" s="19">
        <v>0</v>
      </c>
      <c r="G301" s="16">
        <v>0</v>
      </c>
      <c r="H301" s="22">
        <v>7.8315179439654892E-5</v>
      </c>
      <c r="I301" s="25">
        <v>6.439315887080157E-5</v>
      </c>
      <c r="J301" s="22">
        <v>0</v>
      </c>
      <c r="K301" s="25">
        <v>1.3405185125606584E-5</v>
      </c>
      <c r="L301" s="22">
        <v>0</v>
      </c>
      <c r="M301" s="25">
        <v>2.660458929165281E-5</v>
      </c>
      <c r="N301" s="19">
        <v>0</v>
      </c>
      <c r="O301" s="19">
        <v>0</v>
      </c>
      <c r="P301" s="16">
        <v>0</v>
      </c>
      <c r="Q301" s="19">
        <v>0</v>
      </c>
      <c r="R301" s="16">
        <v>0</v>
      </c>
      <c r="S301" s="25">
        <v>0</v>
      </c>
      <c r="T301" s="22">
        <v>1.8954710877476749E-5</v>
      </c>
      <c r="U301" s="25">
        <v>0</v>
      </c>
      <c r="V301" s="22">
        <v>9.4523318902773319E-5</v>
      </c>
      <c r="W301" s="25">
        <v>2.4726973006387802E-5</v>
      </c>
    </row>
    <row r="302" spans="1:23" x14ac:dyDescent="0.2">
      <c r="A302" s="6" t="s">
        <v>641</v>
      </c>
      <c r="B302" s="19">
        <v>0</v>
      </c>
      <c r="C302" s="16">
        <v>0</v>
      </c>
      <c r="D302" s="19">
        <v>0</v>
      </c>
      <c r="E302" s="16">
        <v>0</v>
      </c>
      <c r="F302" s="19">
        <v>0</v>
      </c>
      <c r="G302" s="16">
        <v>0</v>
      </c>
      <c r="H302" s="22">
        <v>5.4820625607758424E-4</v>
      </c>
      <c r="I302" s="25">
        <v>0</v>
      </c>
      <c r="J302" s="22">
        <v>0</v>
      </c>
      <c r="K302" s="25">
        <v>0</v>
      </c>
      <c r="L302" s="22">
        <v>1.2911000172146668E-4</v>
      </c>
      <c r="M302" s="25">
        <v>6.6511473229132029E-5</v>
      </c>
      <c r="N302" s="19">
        <v>0</v>
      </c>
      <c r="O302" s="19">
        <v>0</v>
      </c>
      <c r="P302" s="16">
        <v>0</v>
      </c>
      <c r="Q302" s="19">
        <v>0</v>
      </c>
      <c r="R302" s="16">
        <v>0</v>
      </c>
      <c r="S302" s="25">
        <v>0</v>
      </c>
      <c r="T302" s="22">
        <v>0</v>
      </c>
      <c r="U302" s="25">
        <v>0</v>
      </c>
      <c r="V302" s="22">
        <v>5.0412436748145764E-5</v>
      </c>
      <c r="W302" s="25">
        <v>0</v>
      </c>
    </row>
    <row r="303" spans="1:23" x14ac:dyDescent="0.2">
      <c r="A303" s="6" t="s">
        <v>640</v>
      </c>
      <c r="B303" s="19">
        <v>0</v>
      </c>
      <c r="C303" s="16">
        <v>0</v>
      </c>
      <c r="D303" s="19">
        <v>0</v>
      </c>
      <c r="E303" s="16">
        <v>0</v>
      </c>
      <c r="F303" s="19">
        <v>0</v>
      </c>
      <c r="G303" s="16">
        <v>0</v>
      </c>
      <c r="H303" s="22">
        <v>0</v>
      </c>
      <c r="I303" s="25">
        <v>0</v>
      </c>
      <c r="J303" s="22">
        <v>0</v>
      </c>
      <c r="K303" s="25">
        <v>0</v>
      </c>
      <c r="L303" s="22">
        <v>0</v>
      </c>
      <c r="M303" s="25">
        <v>0</v>
      </c>
      <c r="N303" s="19">
        <v>0</v>
      </c>
      <c r="O303" s="19">
        <v>0</v>
      </c>
      <c r="P303" s="16">
        <v>0</v>
      </c>
      <c r="Q303" s="19">
        <v>8.0066188048786993E-5</v>
      </c>
      <c r="R303" s="16">
        <v>0</v>
      </c>
      <c r="S303" s="25">
        <v>0</v>
      </c>
      <c r="T303" s="22">
        <v>3.7909421754953497E-5</v>
      </c>
      <c r="U303" s="25">
        <v>0</v>
      </c>
      <c r="V303" s="22">
        <v>0</v>
      </c>
      <c r="W303" s="25">
        <v>0</v>
      </c>
    </row>
    <row r="304" spans="1:23" x14ac:dyDescent="0.2">
      <c r="A304" s="6" t="s">
        <v>639</v>
      </c>
      <c r="B304" s="19">
        <v>7.2716695753344965E-5</v>
      </c>
      <c r="C304" s="16">
        <v>0</v>
      </c>
      <c r="D304" s="19">
        <v>0</v>
      </c>
      <c r="E304" s="16">
        <v>0</v>
      </c>
      <c r="F304" s="19">
        <v>0</v>
      </c>
      <c r="G304" s="16">
        <v>6.8877638874539383E-5</v>
      </c>
      <c r="H304" s="22">
        <v>0</v>
      </c>
      <c r="I304" s="25">
        <v>0</v>
      </c>
      <c r="J304" s="22">
        <v>0</v>
      </c>
      <c r="K304" s="25">
        <v>0</v>
      </c>
      <c r="L304" s="22">
        <v>0</v>
      </c>
      <c r="M304" s="25">
        <v>4.6558031260392418E-5</v>
      </c>
      <c r="N304" s="19">
        <v>0</v>
      </c>
      <c r="O304" s="19">
        <v>0</v>
      </c>
      <c r="P304" s="16">
        <v>0</v>
      </c>
      <c r="Q304" s="19">
        <v>0</v>
      </c>
      <c r="R304" s="16">
        <v>0</v>
      </c>
      <c r="S304" s="25">
        <v>0</v>
      </c>
      <c r="T304" s="22">
        <v>2.0850181965224423E-4</v>
      </c>
      <c r="U304" s="25">
        <v>0</v>
      </c>
      <c r="V304" s="22">
        <v>3.7809327561109323E-5</v>
      </c>
      <c r="W304" s="25">
        <v>0</v>
      </c>
    </row>
    <row r="305" spans="1:23" x14ac:dyDescent="0.2">
      <c r="A305" s="6" t="s">
        <v>638</v>
      </c>
      <c r="B305" s="19">
        <v>0</v>
      </c>
      <c r="C305" s="16">
        <v>0</v>
      </c>
      <c r="D305" s="19">
        <v>0</v>
      </c>
      <c r="E305" s="16">
        <v>0</v>
      </c>
      <c r="F305" s="19">
        <v>0</v>
      </c>
      <c r="G305" s="16">
        <v>0</v>
      </c>
      <c r="H305" s="22">
        <v>0</v>
      </c>
      <c r="I305" s="25">
        <v>0</v>
      </c>
      <c r="J305" s="22">
        <v>0</v>
      </c>
      <c r="K305" s="25">
        <v>0</v>
      </c>
      <c r="L305" s="22">
        <v>0</v>
      </c>
      <c r="M305" s="25">
        <v>0</v>
      </c>
      <c r="N305" s="19">
        <v>0</v>
      </c>
      <c r="O305" s="19">
        <v>0</v>
      </c>
      <c r="P305" s="16">
        <v>0</v>
      </c>
      <c r="Q305" s="19">
        <v>4.0033094024393497E-5</v>
      </c>
      <c r="R305" s="16">
        <v>0</v>
      </c>
      <c r="S305" s="25">
        <v>0</v>
      </c>
      <c r="T305" s="22">
        <v>0</v>
      </c>
      <c r="U305" s="25">
        <v>0</v>
      </c>
      <c r="V305" s="22">
        <v>0</v>
      </c>
      <c r="W305" s="25">
        <v>0</v>
      </c>
    </row>
    <row r="306" spans="1:23" x14ac:dyDescent="0.2">
      <c r="A306" s="6" t="s">
        <v>637</v>
      </c>
      <c r="B306" s="19">
        <v>7.2716695753344965E-5</v>
      </c>
      <c r="C306" s="16">
        <v>0</v>
      </c>
      <c r="D306" s="19">
        <v>0</v>
      </c>
      <c r="E306" s="16">
        <v>0</v>
      </c>
      <c r="F306" s="19">
        <v>1.5258207008094479E-5</v>
      </c>
      <c r="G306" s="16">
        <v>0</v>
      </c>
      <c r="H306" s="22">
        <v>0</v>
      </c>
      <c r="I306" s="25">
        <v>0</v>
      </c>
      <c r="J306" s="22">
        <v>0</v>
      </c>
      <c r="K306" s="25">
        <v>0</v>
      </c>
      <c r="L306" s="22">
        <v>0</v>
      </c>
      <c r="M306" s="25">
        <v>0</v>
      </c>
      <c r="N306" s="19">
        <v>2.3308212260119649E-4</v>
      </c>
      <c r="O306" s="19">
        <v>0</v>
      </c>
      <c r="P306" s="16">
        <v>0</v>
      </c>
      <c r="Q306" s="19">
        <v>0</v>
      </c>
      <c r="R306" s="16">
        <v>0</v>
      </c>
      <c r="S306" s="25">
        <v>0</v>
      </c>
      <c r="T306" s="22">
        <v>0</v>
      </c>
      <c r="U306" s="25">
        <v>0</v>
      </c>
      <c r="V306" s="22">
        <v>0</v>
      </c>
      <c r="W306" s="25">
        <v>0</v>
      </c>
    </row>
    <row r="307" spans="1:23" x14ac:dyDescent="0.2">
      <c r="A307" s="6" t="s">
        <v>636</v>
      </c>
      <c r="B307" s="19">
        <v>0</v>
      </c>
      <c r="C307" s="16">
        <v>0</v>
      </c>
      <c r="D307" s="19">
        <v>0</v>
      </c>
      <c r="E307" s="16">
        <v>0</v>
      </c>
      <c r="F307" s="19">
        <v>0</v>
      </c>
      <c r="G307" s="16">
        <v>0</v>
      </c>
      <c r="H307" s="22">
        <v>0</v>
      </c>
      <c r="I307" s="25">
        <v>3.2196579435400785E-5</v>
      </c>
      <c r="J307" s="22">
        <v>0</v>
      </c>
      <c r="K307" s="25">
        <v>0</v>
      </c>
      <c r="L307" s="22">
        <v>0</v>
      </c>
      <c r="M307" s="25">
        <v>0</v>
      </c>
      <c r="N307" s="19">
        <v>0</v>
      </c>
      <c r="O307" s="19">
        <v>0</v>
      </c>
      <c r="P307" s="16">
        <v>0</v>
      </c>
      <c r="Q307" s="19">
        <v>0</v>
      </c>
      <c r="R307" s="16">
        <v>0</v>
      </c>
      <c r="S307" s="25">
        <v>0</v>
      </c>
      <c r="T307" s="22">
        <v>0</v>
      </c>
      <c r="U307" s="25">
        <v>0</v>
      </c>
      <c r="V307" s="22">
        <v>0</v>
      </c>
      <c r="W307" s="25">
        <v>0</v>
      </c>
    </row>
    <row r="308" spans="1:23" x14ac:dyDescent="0.2">
      <c r="A308" s="6" t="s">
        <v>635</v>
      </c>
      <c r="B308" s="19">
        <v>5.9495478343645881E-5</v>
      </c>
      <c r="C308" s="16">
        <v>5.5400127420293065E-5</v>
      </c>
      <c r="D308" s="19">
        <v>0</v>
      </c>
      <c r="E308" s="16">
        <v>1.4944129334646606E-4</v>
      </c>
      <c r="F308" s="19">
        <v>0</v>
      </c>
      <c r="G308" s="16">
        <v>0</v>
      </c>
      <c r="H308" s="22">
        <v>3.2631324766522872E-5</v>
      </c>
      <c r="I308" s="25">
        <v>2.1249742427364516E-4</v>
      </c>
      <c r="J308" s="22">
        <v>9.9986668444207444E-5</v>
      </c>
      <c r="K308" s="25">
        <v>6.7025925628032924E-5</v>
      </c>
      <c r="L308" s="22">
        <v>6.1480953200698427E-5</v>
      </c>
      <c r="M308" s="25">
        <v>0</v>
      </c>
      <c r="N308" s="19">
        <v>0</v>
      </c>
      <c r="O308" s="19">
        <v>0</v>
      </c>
      <c r="P308" s="16">
        <v>6.4665485443799228E-6</v>
      </c>
      <c r="Q308" s="19">
        <v>1.2009928207318049E-4</v>
      </c>
      <c r="R308" s="16">
        <v>0</v>
      </c>
      <c r="S308" s="25">
        <v>7.0845704496126031E-5</v>
      </c>
      <c r="T308" s="22">
        <v>1.0109179134654265E-4</v>
      </c>
      <c r="U308" s="25">
        <v>2.3554876496052968E-4</v>
      </c>
      <c r="V308" s="22">
        <v>6.9317100528700436E-5</v>
      </c>
      <c r="W308" s="25">
        <v>0</v>
      </c>
    </row>
    <row r="309" spans="1:23" x14ac:dyDescent="0.2">
      <c r="A309" s="6" t="s">
        <v>634</v>
      </c>
      <c r="B309" s="19">
        <v>0</v>
      </c>
      <c r="C309" s="16">
        <v>0</v>
      </c>
      <c r="D309" s="19">
        <v>0</v>
      </c>
      <c r="E309" s="16">
        <v>0</v>
      </c>
      <c r="F309" s="19">
        <v>0</v>
      </c>
      <c r="G309" s="16">
        <v>0</v>
      </c>
      <c r="H309" s="22">
        <v>0</v>
      </c>
      <c r="I309" s="25">
        <v>0</v>
      </c>
      <c r="J309" s="22">
        <v>0</v>
      </c>
      <c r="K309" s="25">
        <v>0</v>
      </c>
      <c r="L309" s="22">
        <v>0</v>
      </c>
      <c r="M309" s="25">
        <v>0</v>
      </c>
      <c r="N309" s="19">
        <v>0</v>
      </c>
      <c r="O309" s="19">
        <v>0</v>
      </c>
      <c r="P309" s="16">
        <v>0</v>
      </c>
      <c r="Q309" s="19">
        <v>0</v>
      </c>
      <c r="R309" s="16">
        <v>0</v>
      </c>
      <c r="S309" s="25">
        <v>0</v>
      </c>
      <c r="T309" s="22">
        <v>1.8954710877476749E-5</v>
      </c>
      <c r="U309" s="25">
        <v>0</v>
      </c>
      <c r="V309" s="22">
        <v>0</v>
      </c>
      <c r="W309" s="25">
        <v>0</v>
      </c>
    </row>
    <row r="310" spans="1:23" x14ac:dyDescent="0.2">
      <c r="A310" s="6" t="s">
        <v>633</v>
      </c>
      <c r="B310" s="19">
        <v>1.3221217409699086E-5</v>
      </c>
      <c r="C310" s="16">
        <v>2.7700063710146532E-5</v>
      </c>
      <c r="D310" s="19">
        <v>3.5530289571860007E-5</v>
      </c>
      <c r="E310" s="16">
        <v>0</v>
      </c>
      <c r="F310" s="19">
        <v>2.2124400161736995E-4</v>
      </c>
      <c r="G310" s="16">
        <v>8.6097048593174229E-5</v>
      </c>
      <c r="H310" s="22">
        <v>0</v>
      </c>
      <c r="I310" s="25">
        <v>1.931794766124047E-5</v>
      </c>
      <c r="J310" s="22">
        <v>0</v>
      </c>
      <c r="K310" s="25">
        <v>4.0215555376819756E-5</v>
      </c>
      <c r="L310" s="22">
        <v>0</v>
      </c>
      <c r="M310" s="25">
        <v>0</v>
      </c>
      <c r="N310" s="19">
        <v>6.5741111502901563E-5</v>
      </c>
      <c r="O310" s="19">
        <v>0</v>
      </c>
      <c r="P310" s="16">
        <v>5.1732388355039383E-5</v>
      </c>
      <c r="Q310" s="19">
        <v>2.6688729349595664E-5</v>
      </c>
      <c r="R310" s="16">
        <v>3.5704594467216042E-5</v>
      </c>
      <c r="S310" s="25">
        <v>1.2881037181113824E-5</v>
      </c>
      <c r="T310" s="22">
        <v>6.3182369591589164E-5</v>
      </c>
      <c r="U310" s="25">
        <v>0</v>
      </c>
      <c r="V310" s="22">
        <v>0</v>
      </c>
      <c r="W310" s="25">
        <v>1.6484648670925202E-5</v>
      </c>
    </row>
    <row r="311" spans="1:23" x14ac:dyDescent="0.2">
      <c r="A311" s="6" t="s">
        <v>632</v>
      </c>
      <c r="B311" s="19">
        <v>0</v>
      </c>
      <c r="C311" s="16">
        <v>7.6175175202902962E-5</v>
      </c>
      <c r="D311" s="19">
        <v>0</v>
      </c>
      <c r="E311" s="16">
        <v>0</v>
      </c>
      <c r="F311" s="19">
        <v>0</v>
      </c>
      <c r="G311" s="16">
        <v>0</v>
      </c>
      <c r="H311" s="22">
        <v>0</v>
      </c>
      <c r="I311" s="25">
        <v>0</v>
      </c>
      <c r="J311" s="22">
        <v>0</v>
      </c>
      <c r="K311" s="25">
        <v>0</v>
      </c>
      <c r="L311" s="22">
        <v>0</v>
      </c>
      <c r="M311" s="25">
        <v>1.9953441968739608E-5</v>
      </c>
      <c r="N311" s="19">
        <v>0</v>
      </c>
      <c r="O311" s="19">
        <v>0</v>
      </c>
      <c r="P311" s="16">
        <v>9.6998228165698841E-5</v>
      </c>
      <c r="Q311" s="19">
        <v>0</v>
      </c>
      <c r="R311" s="16">
        <v>1.4995929676230737E-4</v>
      </c>
      <c r="S311" s="25">
        <v>0</v>
      </c>
      <c r="T311" s="22">
        <v>0</v>
      </c>
      <c r="U311" s="25">
        <v>0</v>
      </c>
      <c r="V311" s="22">
        <v>0</v>
      </c>
      <c r="W311" s="25">
        <v>0</v>
      </c>
    </row>
    <row r="312" spans="1:23" x14ac:dyDescent="0.2">
      <c r="A312" s="6" t="s">
        <v>631</v>
      </c>
      <c r="B312" s="19">
        <v>9.5853826220318363E-4</v>
      </c>
      <c r="C312" s="16">
        <v>8.3861942882468635E-3</v>
      </c>
      <c r="D312" s="19">
        <v>2.1460294901403452E-3</v>
      </c>
      <c r="E312" s="16">
        <v>7.9815236219135267E-3</v>
      </c>
      <c r="F312" s="19">
        <v>4.577462102428344E-4</v>
      </c>
      <c r="G312" s="16">
        <v>3.0220064056204156E-3</v>
      </c>
      <c r="H312" s="22">
        <v>2.1601936995438139E-3</v>
      </c>
      <c r="I312" s="25">
        <v>6.052956933855347E-4</v>
      </c>
      <c r="J312" s="22">
        <v>7.3323556859085457E-4</v>
      </c>
      <c r="K312" s="25">
        <v>1.7359714737660529E-3</v>
      </c>
      <c r="L312" s="22">
        <v>7.9310429628900959E-4</v>
      </c>
      <c r="M312" s="25">
        <v>1.090788160957765E-3</v>
      </c>
      <c r="N312" s="19">
        <v>1.4044692002892609E-3</v>
      </c>
      <c r="O312" s="19">
        <v>8.9893675845616715E-3</v>
      </c>
      <c r="P312" s="16">
        <v>1.2085979229446075E-2</v>
      </c>
      <c r="Q312" s="19">
        <v>4.3369185193092956E-3</v>
      </c>
      <c r="R312" s="16">
        <v>8.0478155929104948E-3</v>
      </c>
      <c r="S312" s="25">
        <v>9.3387519563075229E-4</v>
      </c>
      <c r="T312" s="22">
        <v>1.7627881116053375E-3</v>
      </c>
      <c r="U312" s="25">
        <v>9.5492742551566074E-4</v>
      </c>
      <c r="V312" s="22">
        <v>1.2981202462647536E-3</v>
      </c>
      <c r="W312" s="25">
        <v>1.920461570162786E-3</v>
      </c>
    </row>
    <row r="313" spans="1:23" x14ac:dyDescent="0.2">
      <c r="A313" s="6" t="s">
        <v>630</v>
      </c>
      <c r="B313" s="19">
        <v>0</v>
      </c>
      <c r="C313" s="16">
        <v>0</v>
      </c>
      <c r="D313" s="19">
        <v>0</v>
      </c>
      <c r="E313" s="16">
        <v>0</v>
      </c>
      <c r="F313" s="19">
        <v>0</v>
      </c>
      <c r="G313" s="16">
        <v>0</v>
      </c>
      <c r="H313" s="22">
        <v>0</v>
      </c>
      <c r="I313" s="25">
        <v>0</v>
      </c>
      <c r="J313" s="22">
        <v>0</v>
      </c>
      <c r="K313" s="25">
        <v>0</v>
      </c>
      <c r="L313" s="22">
        <v>0</v>
      </c>
      <c r="M313" s="25">
        <v>0</v>
      </c>
      <c r="N313" s="19">
        <v>0</v>
      </c>
      <c r="O313" s="19">
        <v>0</v>
      </c>
      <c r="P313" s="16">
        <v>0</v>
      </c>
      <c r="Q313" s="19">
        <v>1.0675491739838266E-4</v>
      </c>
      <c r="R313" s="16">
        <v>1.4995929676230737E-4</v>
      </c>
      <c r="S313" s="25">
        <v>0</v>
      </c>
      <c r="T313" s="22">
        <v>0</v>
      </c>
      <c r="U313" s="25">
        <v>0</v>
      </c>
      <c r="V313" s="22">
        <v>0</v>
      </c>
      <c r="W313" s="25">
        <v>0</v>
      </c>
    </row>
    <row r="314" spans="1:23" x14ac:dyDescent="0.2">
      <c r="A314" s="6" t="s">
        <v>629</v>
      </c>
      <c r="B314" s="19">
        <v>0</v>
      </c>
      <c r="C314" s="16">
        <v>0</v>
      </c>
      <c r="D314" s="19">
        <v>0</v>
      </c>
      <c r="E314" s="16">
        <v>0</v>
      </c>
      <c r="F314" s="19">
        <v>0</v>
      </c>
      <c r="G314" s="16">
        <v>0</v>
      </c>
      <c r="H314" s="22">
        <v>0</v>
      </c>
      <c r="I314" s="25">
        <v>0</v>
      </c>
      <c r="J314" s="22">
        <v>0</v>
      </c>
      <c r="K314" s="25">
        <v>0</v>
      </c>
      <c r="L314" s="22">
        <v>3.0740476600349214E-5</v>
      </c>
      <c r="M314" s="25">
        <v>0</v>
      </c>
      <c r="N314" s="19">
        <v>0</v>
      </c>
      <c r="O314" s="19">
        <v>0</v>
      </c>
      <c r="P314" s="16">
        <v>0</v>
      </c>
      <c r="Q314" s="19">
        <v>0</v>
      </c>
      <c r="R314" s="16">
        <v>0</v>
      </c>
      <c r="S314" s="25">
        <v>2.5762074362227647E-5</v>
      </c>
      <c r="T314" s="22">
        <v>0</v>
      </c>
      <c r="U314" s="25">
        <v>0</v>
      </c>
      <c r="V314" s="22">
        <v>0</v>
      </c>
      <c r="W314" s="25">
        <v>0</v>
      </c>
    </row>
    <row r="315" spans="1:23" x14ac:dyDescent="0.2">
      <c r="A315" s="6" t="s">
        <v>628</v>
      </c>
      <c r="B315" s="19">
        <v>4.4952139192976889E-4</v>
      </c>
      <c r="C315" s="16">
        <v>1.038752389130495E-3</v>
      </c>
      <c r="D315" s="19">
        <v>6.4665127020785223E-4</v>
      </c>
      <c r="E315" s="16">
        <v>6.5210746187548824E-4</v>
      </c>
      <c r="F315" s="19">
        <v>1.6784027708903926E-4</v>
      </c>
      <c r="G315" s="16">
        <v>4.7353376726245826E-4</v>
      </c>
      <c r="H315" s="22">
        <v>0</v>
      </c>
      <c r="I315" s="25">
        <v>0</v>
      </c>
      <c r="J315" s="22">
        <v>0</v>
      </c>
      <c r="K315" s="25">
        <v>0</v>
      </c>
      <c r="L315" s="22">
        <v>0</v>
      </c>
      <c r="M315" s="25">
        <v>0</v>
      </c>
      <c r="N315" s="19">
        <v>6.4545818566485178E-4</v>
      </c>
      <c r="O315" s="19">
        <v>1.856328104017568E-3</v>
      </c>
      <c r="P315" s="16">
        <v>1.2674435146984649E-3</v>
      </c>
      <c r="Q315" s="19">
        <v>1.0675491739838266E-4</v>
      </c>
      <c r="R315" s="16">
        <v>2.4993216127051226E-4</v>
      </c>
      <c r="S315" s="25">
        <v>0</v>
      </c>
      <c r="T315" s="22">
        <v>0</v>
      </c>
      <c r="U315" s="25">
        <v>0</v>
      </c>
      <c r="V315" s="22">
        <v>0</v>
      </c>
      <c r="W315" s="25">
        <v>0</v>
      </c>
    </row>
    <row r="316" spans="1:23" x14ac:dyDescent="0.2">
      <c r="A316" s="6" t="s">
        <v>627</v>
      </c>
      <c r="B316" s="19">
        <v>0</v>
      </c>
      <c r="C316" s="16">
        <v>0</v>
      </c>
      <c r="D316" s="19">
        <v>0</v>
      </c>
      <c r="E316" s="16">
        <v>0</v>
      </c>
      <c r="F316" s="19">
        <v>0</v>
      </c>
      <c r="G316" s="16">
        <v>0</v>
      </c>
      <c r="H316" s="22">
        <v>1.9578794859913723E-5</v>
      </c>
      <c r="I316" s="25">
        <v>0</v>
      </c>
      <c r="J316" s="22">
        <v>0</v>
      </c>
      <c r="K316" s="25">
        <v>0</v>
      </c>
      <c r="L316" s="22">
        <v>0</v>
      </c>
      <c r="M316" s="25">
        <v>1.3302294645826405E-5</v>
      </c>
      <c r="N316" s="19">
        <v>0</v>
      </c>
      <c r="O316" s="19">
        <v>0</v>
      </c>
      <c r="P316" s="16">
        <v>0</v>
      </c>
      <c r="Q316" s="19">
        <v>0</v>
      </c>
      <c r="R316" s="16">
        <v>0</v>
      </c>
      <c r="S316" s="25">
        <v>0</v>
      </c>
      <c r="T316" s="22">
        <v>0</v>
      </c>
      <c r="U316" s="25">
        <v>0</v>
      </c>
      <c r="V316" s="22">
        <v>0</v>
      </c>
      <c r="W316" s="25">
        <v>0</v>
      </c>
    </row>
    <row r="317" spans="1:23" x14ac:dyDescent="0.2">
      <c r="A317" s="6" t="s">
        <v>626</v>
      </c>
      <c r="B317" s="19">
        <v>5.2884869638796342E-5</v>
      </c>
      <c r="C317" s="16">
        <v>0</v>
      </c>
      <c r="D317" s="19">
        <v>0</v>
      </c>
      <c r="E317" s="16">
        <v>0</v>
      </c>
      <c r="F317" s="19">
        <v>4.4248800323473989E-4</v>
      </c>
      <c r="G317" s="16">
        <v>9.4706753452491652E-5</v>
      </c>
      <c r="H317" s="22">
        <v>4.6336481168462475E-4</v>
      </c>
      <c r="I317" s="25">
        <v>1.0946837008036267E-4</v>
      </c>
      <c r="J317" s="22">
        <v>0</v>
      </c>
      <c r="K317" s="25">
        <v>0</v>
      </c>
      <c r="L317" s="22">
        <v>1.3525809704153654E-3</v>
      </c>
      <c r="M317" s="25">
        <v>5.7864981709344855E-4</v>
      </c>
      <c r="N317" s="19">
        <v>0</v>
      </c>
      <c r="O317" s="19">
        <v>7.8992685277343313E-5</v>
      </c>
      <c r="P317" s="16">
        <v>0</v>
      </c>
      <c r="Q317" s="19">
        <v>0</v>
      </c>
      <c r="R317" s="16">
        <v>0</v>
      </c>
      <c r="S317" s="25">
        <v>0</v>
      </c>
      <c r="T317" s="22">
        <v>1.5606045289122518E-3</v>
      </c>
      <c r="U317" s="25">
        <v>4.1380188439011967E-4</v>
      </c>
      <c r="V317" s="22">
        <v>0</v>
      </c>
      <c r="W317" s="25">
        <v>0</v>
      </c>
    </row>
    <row r="318" spans="1:23" x14ac:dyDescent="0.2">
      <c r="A318" s="6" t="s">
        <v>625</v>
      </c>
      <c r="B318" s="19">
        <v>2.6442434819398171E-5</v>
      </c>
      <c r="C318" s="16">
        <v>0</v>
      </c>
      <c r="D318" s="19">
        <v>2.2028779534553206E-4</v>
      </c>
      <c r="E318" s="16">
        <v>2.7171144244812009E-5</v>
      </c>
      <c r="F318" s="19">
        <v>0</v>
      </c>
      <c r="G318" s="16">
        <v>0</v>
      </c>
      <c r="H318" s="22">
        <v>0</v>
      </c>
      <c r="I318" s="25">
        <v>0</v>
      </c>
      <c r="J318" s="22">
        <v>0</v>
      </c>
      <c r="K318" s="25">
        <v>0</v>
      </c>
      <c r="L318" s="22">
        <v>1.2911000172146668E-4</v>
      </c>
      <c r="M318" s="25">
        <v>1.5962753574991686E-4</v>
      </c>
      <c r="N318" s="19">
        <v>2.3905858728327845E-5</v>
      </c>
      <c r="O318" s="19">
        <v>0</v>
      </c>
      <c r="P318" s="16">
        <v>0</v>
      </c>
      <c r="Q318" s="19">
        <v>0</v>
      </c>
      <c r="R318" s="16">
        <v>0</v>
      </c>
      <c r="S318" s="25">
        <v>0</v>
      </c>
      <c r="T318" s="22">
        <v>1.2636473918317833E-4</v>
      </c>
      <c r="U318" s="25">
        <v>7.0028011204481788E-5</v>
      </c>
      <c r="V318" s="22">
        <v>0</v>
      </c>
      <c r="W318" s="25">
        <v>0</v>
      </c>
    </row>
    <row r="319" spans="1:23" x14ac:dyDescent="0.2">
      <c r="A319" s="6" t="s">
        <v>624</v>
      </c>
      <c r="B319" s="19">
        <v>0</v>
      </c>
      <c r="C319" s="16">
        <v>0</v>
      </c>
      <c r="D319" s="19">
        <v>0</v>
      </c>
      <c r="E319" s="16">
        <v>0</v>
      </c>
      <c r="F319" s="19">
        <v>0</v>
      </c>
      <c r="G319" s="16">
        <v>0</v>
      </c>
      <c r="H319" s="22">
        <v>5.8736384579741169E-5</v>
      </c>
      <c r="I319" s="25">
        <v>0</v>
      </c>
      <c r="J319" s="22">
        <v>0</v>
      </c>
      <c r="K319" s="25">
        <v>0</v>
      </c>
      <c r="L319" s="22">
        <v>0</v>
      </c>
      <c r="M319" s="25">
        <v>0</v>
      </c>
      <c r="N319" s="19">
        <v>0</v>
      </c>
      <c r="O319" s="19">
        <v>0</v>
      </c>
      <c r="P319" s="16">
        <v>0</v>
      </c>
      <c r="Q319" s="19">
        <v>0</v>
      </c>
      <c r="R319" s="16">
        <v>0</v>
      </c>
      <c r="S319" s="25">
        <v>0</v>
      </c>
      <c r="T319" s="22">
        <v>0</v>
      </c>
      <c r="U319" s="25">
        <v>0</v>
      </c>
      <c r="V319" s="22">
        <v>0</v>
      </c>
      <c r="W319" s="25">
        <v>0</v>
      </c>
    </row>
    <row r="320" spans="1:23" x14ac:dyDescent="0.2">
      <c r="A320" s="6" t="s">
        <v>623</v>
      </c>
      <c r="B320" s="19">
        <v>0</v>
      </c>
      <c r="C320" s="16">
        <v>0</v>
      </c>
      <c r="D320" s="19">
        <v>0</v>
      </c>
      <c r="E320" s="16">
        <v>0</v>
      </c>
      <c r="F320" s="19">
        <v>0</v>
      </c>
      <c r="G320" s="16">
        <v>0</v>
      </c>
      <c r="H320" s="22">
        <v>2.6105059813218297E-5</v>
      </c>
      <c r="I320" s="25">
        <v>0</v>
      </c>
      <c r="J320" s="22">
        <v>0</v>
      </c>
      <c r="K320" s="25">
        <v>0</v>
      </c>
      <c r="L320" s="22">
        <v>0</v>
      </c>
      <c r="M320" s="25">
        <v>0</v>
      </c>
      <c r="N320" s="19">
        <v>0</v>
      </c>
      <c r="O320" s="19">
        <v>0</v>
      </c>
      <c r="P320" s="16">
        <v>0</v>
      </c>
      <c r="Q320" s="19">
        <v>0</v>
      </c>
      <c r="R320" s="16">
        <v>0</v>
      </c>
      <c r="S320" s="25">
        <v>0</v>
      </c>
      <c r="T320" s="22">
        <v>0</v>
      </c>
      <c r="U320" s="25">
        <v>0</v>
      </c>
      <c r="V320" s="22">
        <v>0</v>
      </c>
      <c r="W320" s="25">
        <v>0</v>
      </c>
    </row>
    <row r="321" spans="1:23" x14ac:dyDescent="0.2">
      <c r="A321" s="6" t="s">
        <v>622</v>
      </c>
      <c r="B321" s="19">
        <v>5.2884869638796342E-5</v>
      </c>
      <c r="C321" s="16">
        <v>0</v>
      </c>
      <c r="D321" s="19">
        <v>1.4212115828744003E-4</v>
      </c>
      <c r="E321" s="16">
        <v>0</v>
      </c>
      <c r="F321" s="19">
        <v>0</v>
      </c>
      <c r="G321" s="16">
        <v>4.3048524296587115E-5</v>
      </c>
      <c r="H321" s="22">
        <v>3.0673445280531497E-4</v>
      </c>
      <c r="I321" s="25">
        <v>0</v>
      </c>
      <c r="J321" s="22">
        <v>7.9989334755365947E-5</v>
      </c>
      <c r="K321" s="25">
        <v>0</v>
      </c>
      <c r="L321" s="22">
        <v>0</v>
      </c>
      <c r="M321" s="25">
        <v>1.9953441968739608E-5</v>
      </c>
      <c r="N321" s="19">
        <v>2.2710565791911455E-4</v>
      </c>
      <c r="O321" s="19">
        <v>4.8975464871952863E-4</v>
      </c>
      <c r="P321" s="16">
        <v>0</v>
      </c>
      <c r="Q321" s="19">
        <v>0</v>
      </c>
      <c r="R321" s="16">
        <v>0</v>
      </c>
      <c r="S321" s="25">
        <v>0</v>
      </c>
      <c r="T321" s="22">
        <v>3.6013950667205825E-4</v>
      </c>
      <c r="U321" s="25">
        <v>0</v>
      </c>
      <c r="V321" s="22">
        <v>0</v>
      </c>
      <c r="W321" s="25">
        <v>0</v>
      </c>
    </row>
    <row r="322" spans="1:23" x14ac:dyDescent="0.2">
      <c r="A322" s="6" t="s">
        <v>621</v>
      </c>
      <c r="B322" s="19">
        <v>3.1268179173938333E-3</v>
      </c>
      <c r="C322" s="16">
        <v>1.0179773413478851E-3</v>
      </c>
      <c r="D322" s="19">
        <v>3.3895896251554449E-3</v>
      </c>
      <c r="E322" s="16">
        <v>2.4454029820330809E-3</v>
      </c>
      <c r="F322" s="19">
        <v>2.1895527056615578E-3</v>
      </c>
      <c r="G322" s="16">
        <v>2.5915211626545442E-3</v>
      </c>
      <c r="H322" s="22">
        <v>8.5494070888289912E-3</v>
      </c>
      <c r="I322" s="25">
        <v>1.3844529157222337E-3</v>
      </c>
      <c r="J322" s="22">
        <v>5.3326223170243974E-4</v>
      </c>
      <c r="K322" s="25">
        <v>2.1448296200970535E-4</v>
      </c>
      <c r="L322" s="22">
        <v>1.7460590708998354E-3</v>
      </c>
      <c r="M322" s="25">
        <v>1.5231127369471232E-3</v>
      </c>
      <c r="N322" s="19">
        <v>3.4364671921971275E-3</v>
      </c>
      <c r="O322" s="19">
        <v>4.5578779405027088E-3</v>
      </c>
      <c r="P322" s="16">
        <v>1.0152481214676479E-3</v>
      </c>
      <c r="Q322" s="19">
        <v>1.5612906669513465E-3</v>
      </c>
      <c r="R322" s="16">
        <v>1.7281023722132563E-3</v>
      </c>
      <c r="S322" s="25">
        <v>1.7389400194503659E-4</v>
      </c>
      <c r="T322" s="22">
        <v>2.400930044480388E-3</v>
      </c>
      <c r="U322" s="25">
        <v>1.5724471606824548E-3</v>
      </c>
      <c r="V322" s="22">
        <v>1.6384041943147375E-3</v>
      </c>
      <c r="W322" s="25">
        <v>4.1211621677313001E-4</v>
      </c>
    </row>
    <row r="323" spans="1:23" x14ac:dyDescent="0.2">
      <c r="A323" s="6" t="s">
        <v>620</v>
      </c>
      <c r="B323" s="19">
        <v>2.1153947855518537E-4</v>
      </c>
      <c r="C323" s="16">
        <v>1.8697543004348911E-4</v>
      </c>
      <c r="D323" s="19">
        <v>3.3398472197548407E-4</v>
      </c>
      <c r="E323" s="16">
        <v>3.9398159154977413E-4</v>
      </c>
      <c r="F323" s="19">
        <v>0</v>
      </c>
      <c r="G323" s="16">
        <v>3.7882701380996661E-4</v>
      </c>
      <c r="H323" s="22">
        <v>3.8504963224496986E-4</v>
      </c>
      <c r="I323" s="25">
        <v>3.2196579435400785E-5</v>
      </c>
      <c r="J323" s="22">
        <v>3.2662311691774426E-4</v>
      </c>
      <c r="K323" s="25">
        <v>8.5122925547601817E-4</v>
      </c>
      <c r="L323" s="22">
        <v>5.5332857880628587E-5</v>
      </c>
      <c r="M323" s="25">
        <v>7.9813767874958432E-5</v>
      </c>
      <c r="N323" s="19">
        <v>3.7054081028908164E-4</v>
      </c>
      <c r="O323" s="19">
        <v>6.2404221369101226E-4</v>
      </c>
      <c r="P323" s="16">
        <v>1.1316459952664865E-3</v>
      </c>
      <c r="Q323" s="19">
        <v>4.136753049187328E-4</v>
      </c>
      <c r="R323" s="16">
        <v>1.0497150773361515E-3</v>
      </c>
      <c r="S323" s="25">
        <v>1.0755666046230042E-3</v>
      </c>
      <c r="T323" s="22">
        <v>3.1591184795794582E-5</v>
      </c>
      <c r="U323" s="25">
        <v>6.6844919786096264E-4</v>
      </c>
      <c r="V323" s="22">
        <v>4.6001348532683016E-4</v>
      </c>
      <c r="W323" s="25">
        <v>2.9754790851019993E-3</v>
      </c>
    </row>
    <row r="324" spans="1:23" x14ac:dyDescent="0.2">
      <c r="A324" s="6" t="s">
        <v>619</v>
      </c>
      <c r="B324" s="19">
        <v>0</v>
      </c>
      <c r="C324" s="16">
        <v>0</v>
      </c>
      <c r="D324" s="19">
        <v>0</v>
      </c>
      <c r="E324" s="16">
        <v>0</v>
      </c>
      <c r="F324" s="19">
        <v>0</v>
      </c>
      <c r="G324" s="16">
        <v>0</v>
      </c>
      <c r="H324" s="22">
        <v>0</v>
      </c>
      <c r="I324" s="25">
        <v>0</v>
      </c>
      <c r="J324" s="22">
        <v>0</v>
      </c>
      <c r="K324" s="25">
        <v>0</v>
      </c>
      <c r="L324" s="22">
        <v>1.2296190640139685E-5</v>
      </c>
      <c r="M324" s="25">
        <v>0</v>
      </c>
      <c r="N324" s="19">
        <v>0</v>
      </c>
      <c r="O324" s="19">
        <v>0</v>
      </c>
      <c r="P324" s="16">
        <v>0</v>
      </c>
      <c r="Q324" s="19">
        <v>0</v>
      </c>
      <c r="R324" s="16">
        <v>0</v>
      </c>
      <c r="S324" s="25">
        <v>0</v>
      </c>
      <c r="T324" s="22">
        <v>0</v>
      </c>
      <c r="U324" s="25">
        <v>0</v>
      </c>
      <c r="V324" s="22">
        <v>0</v>
      </c>
      <c r="W324" s="25">
        <v>0</v>
      </c>
    </row>
    <row r="325" spans="1:23" x14ac:dyDescent="0.2">
      <c r="A325" s="6" t="s">
        <v>618</v>
      </c>
      <c r="B325" s="19">
        <v>1.520440002115395E-4</v>
      </c>
      <c r="C325" s="16">
        <v>0</v>
      </c>
      <c r="D325" s="19">
        <v>7.8166637058092026E-5</v>
      </c>
      <c r="E325" s="16">
        <v>0</v>
      </c>
      <c r="F325" s="19">
        <v>1.1977692501354165E-3</v>
      </c>
      <c r="G325" s="16">
        <v>3.2716878465406207E-4</v>
      </c>
      <c r="H325" s="22">
        <v>2.6105059813218297E-4</v>
      </c>
      <c r="I325" s="25">
        <v>1.6742221306408406E-4</v>
      </c>
      <c r="J325" s="22">
        <v>0</v>
      </c>
      <c r="K325" s="25">
        <v>1.0724148100485267E-4</v>
      </c>
      <c r="L325" s="22">
        <v>0</v>
      </c>
      <c r="M325" s="25">
        <v>9.9767209843698037E-5</v>
      </c>
      <c r="N325" s="19">
        <v>0</v>
      </c>
      <c r="O325" s="19">
        <v>8.6891953805077636E-4</v>
      </c>
      <c r="P325" s="16">
        <v>0</v>
      </c>
      <c r="Q325" s="19">
        <v>1.8682110544716965E-4</v>
      </c>
      <c r="R325" s="16">
        <v>2.6421399905739873E-4</v>
      </c>
      <c r="S325" s="25">
        <v>2.7050178080339029E-4</v>
      </c>
      <c r="T325" s="22">
        <v>5.6864132632430249E-5</v>
      </c>
      <c r="U325" s="25">
        <v>1.8461930226636107E-4</v>
      </c>
      <c r="V325" s="22">
        <v>1.3863420105740087E-4</v>
      </c>
      <c r="W325" s="25">
        <v>7.4180919019163407E-5</v>
      </c>
    </row>
    <row r="326" spans="1:23" x14ac:dyDescent="0.2">
      <c r="A326" s="6" t="s">
        <v>617</v>
      </c>
      <c r="B326" s="19">
        <v>2.7103495689883124E-4</v>
      </c>
      <c r="C326" s="16">
        <v>0</v>
      </c>
      <c r="D326" s="19">
        <v>1.0659086871558003E-4</v>
      </c>
      <c r="E326" s="16">
        <v>5.4342288489624017E-5</v>
      </c>
      <c r="F326" s="19">
        <v>6.6373200485210992E-4</v>
      </c>
      <c r="G326" s="16">
        <v>1.0331645831180907E-4</v>
      </c>
      <c r="H326" s="22">
        <v>1.8926168364583266E-4</v>
      </c>
      <c r="I326" s="25">
        <v>5.7953842983721407E-5</v>
      </c>
      <c r="J326" s="22">
        <v>5.9992001066524464E-5</v>
      </c>
      <c r="K326" s="25">
        <v>8.0431110753639498E-5</v>
      </c>
      <c r="L326" s="22">
        <v>9.2221429801047641E-5</v>
      </c>
      <c r="M326" s="25">
        <v>2.3279015630196209E-4</v>
      </c>
      <c r="N326" s="19">
        <v>1.9722333450870473E-4</v>
      </c>
      <c r="O326" s="19">
        <v>0</v>
      </c>
      <c r="P326" s="16">
        <v>0</v>
      </c>
      <c r="Q326" s="19">
        <v>2.1350983479676532E-4</v>
      </c>
      <c r="R326" s="16">
        <v>2.2136848569673945E-4</v>
      </c>
      <c r="S326" s="25">
        <v>1.8677503912615045E-4</v>
      </c>
      <c r="T326" s="22">
        <v>2.9695713708046908E-4</v>
      </c>
      <c r="U326" s="25">
        <v>8.2760376878023934E-5</v>
      </c>
      <c r="V326" s="22">
        <v>6.9317100528700436E-5</v>
      </c>
      <c r="W326" s="25">
        <v>7.4180919019163407E-5</v>
      </c>
    </row>
    <row r="327" spans="1:23" x14ac:dyDescent="0.2">
      <c r="A327" s="6" t="s">
        <v>616</v>
      </c>
      <c r="B327" s="19">
        <v>2.7764556560368078E-4</v>
      </c>
      <c r="C327" s="16">
        <v>9.2102711836237225E-4</v>
      </c>
      <c r="D327" s="19">
        <v>4.5478770651980811E-4</v>
      </c>
      <c r="E327" s="16">
        <v>8.6947661583398428E-4</v>
      </c>
      <c r="F327" s="19">
        <v>0</v>
      </c>
      <c r="G327" s="16">
        <v>6.7155697902675899E-4</v>
      </c>
      <c r="H327" s="22">
        <v>3.2631324766522872E-5</v>
      </c>
      <c r="I327" s="25">
        <v>0</v>
      </c>
      <c r="J327" s="22">
        <v>0</v>
      </c>
      <c r="K327" s="25">
        <v>0</v>
      </c>
      <c r="L327" s="22">
        <v>0</v>
      </c>
      <c r="M327" s="25">
        <v>0</v>
      </c>
      <c r="N327" s="19">
        <v>6.036229328902781E-4</v>
      </c>
      <c r="O327" s="19">
        <v>6.635385563296839E-4</v>
      </c>
      <c r="P327" s="16">
        <v>1.1510456408996262E-3</v>
      </c>
      <c r="Q327" s="19">
        <v>3.8698657556913714E-4</v>
      </c>
      <c r="R327" s="16">
        <v>3.2134135020494442E-4</v>
      </c>
      <c r="S327" s="25">
        <v>0</v>
      </c>
      <c r="T327" s="22">
        <v>0</v>
      </c>
      <c r="U327" s="25">
        <v>0</v>
      </c>
      <c r="V327" s="22">
        <v>0</v>
      </c>
      <c r="W327" s="25">
        <v>0</v>
      </c>
    </row>
    <row r="328" spans="1:23" x14ac:dyDescent="0.2">
      <c r="A328" s="6" t="s">
        <v>615</v>
      </c>
      <c r="B328" s="19">
        <v>2.3137130466973399E-4</v>
      </c>
      <c r="C328" s="16">
        <v>0</v>
      </c>
      <c r="D328" s="19">
        <v>0</v>
      </c>
      <c r="E328" s="16">
        <v>1.1547736304045105E-4</v>
      </c>
      <c r="F328" s="19">
        <v>0</v>
      </c>
      <c r="G328" s="16">
        <v>1.5497468746771361E-4</v>
      </c>
      <c r="H328" s="22">
        <v>0</v>
      </c>
      <c r="I328" s="25">
        <v>0</v>
      </c>
      <c r="J328" s="22">
        <v>0</v>
      </c>
      <c r="K328" s="25">
        <v>0</v>
      </c>
      <c r="L328" s="22">
        <v>0</v>
      </c>
      <c r="M328" s="25">
        <v>3.3255736614566014E-5</v>
      </c>
      <c r="N328" s="19">
        <v>5.9764646820819615E-5</v>
      </c>
      <c r="O328" s="19">
        <v>1.0269049086054631E-4</v>
      </c>
      <c r="P328" s="16">
        <v>7.7598582532559067E-5</v>
      </c>
      <c r="Q328" s="19">
        <v>0</v>
      </c>
      <c r="R328" s="16">
        <v>0</v>
      </c>
      <c r="S328" s="25">
        <v>0</v>
      </c>
      <c r="T328" s="22">
        <v>0</v>
      </c>
      <c r="U328" s="25">
        <v>0</v>
      </c>
      <c r="V328" s="22">
        <v>0</v>
      </c>
      <c r="W328" s="25">
        <v>0</v>
      </c>
    </row>
    <row r="329" spans="1:23" x14ac:dyDescent="0.2">
      <c r="A329" s="6" t="s">
        <v>614</v>
      </c>
      <c r="B329" s="19">
        <v>4.6406473108043791E-3</v>
      </c>
      <c r="C329" s="16">
        <v>5.3876623916235006E-3</v>
      </c>
      <c r="D329" s="19">
        <v>4.1712559957363653E-3</v>
      </c>
      <c r="E329" s="16">
        <v>5.1353462622694699E-3</v>
      </c>
      <c r="F329" s="19">
        <v>3.2271107822119827E-3</v>
      </c>
      <c r="G329" s="16">
        <v>7.0427385749216517E-3</v>
      </c>
      <c r="H329" s="22">
        <v>8.1317261318174985E-3</v>
      </c>
      <c r="I329" s="25">
        <v>1.0921079744487944E-2</v>
      </c>
      <c r="J329" s="22">
        <v>1.157845620583922E-2</v>
      </c>
      <c r="K329" s="25">
        <v>1.4403871417464277E-2</v>
      </c>
      <c r="L329" s="22">
        <v>7.771192484568281E-3</v>
      </c>
      <c r="M329" s="25">
        <v>7.1898902560691719E-3</v>
      </c>
      <c r="N329" s="19">
        <v>5.1039008384979965E-3</v>
      </c>
      <c r="O329" s="19">
        <v>5.9402499328562175E-3</v>
      </c>
      <c r="P329" s="16">
        <v>7.8697895785103649E-3</v>
      </c>
      <c r="Q329" s="19">
        <v>5.5912887987402925E-3</v>
      </c>
      <c r="R329" s="16">
        <v>6.0697810594267263E-3</v>
      </c>
      <c r="S329" s="25">
        <v>5.0622476121777319E-3</v>
      </c>
      <c r="T329" s="22">
        <v>8.4727557622321058E-3</v>
      </c>
      <c r="U329" s="25">
        <v>1.2655971479500892E-2</v>
      </c>
      <c r="V329" s="22">
        <v>1.0674833481419866E-2</v>
      </c>
      <c r="W329" s="25">
        <v>2.2790026787554096E-2</v>
      </c>
    </row>
    <row r="330" spans="1:23" x14ac:dyDescent="0.2">
      <c r="A330" s="6" t="s">
        <v>613</v>
      </c>
      <c r="B330" s="19">
        <v>0</v>
      </c>
      <c r="C330" s="16">
        <v>0</v>
      </c>
      <c r="D330" s="19">
        <v>0</v>
      </c>
      <c r="E330" s="16">
        <v>0</v>
      </c>
      <c r="F330" s="19">
        <v>0</v>
      </c>
      <c r="G330" s="16">
        <v>0</v>
      </c>
      <c r="H330" s="22">
        <v>0</v>
      </c>
      <c r="I330" s="25">
        <v>0</v>
      </c>
      <c r="J330" s="22">
        <v>0</v>
      </c>
      <c r="K330" s="25">
        <v>0</v>
      </c>
      <c r="L330" s="22">
        <v>0</v>
      </c>
      <c r="M330" s="25">
        <v>0</v>
      </c>
      <c r="N330" s="19">
        <v>0</v>
      </c>
      <c r="O330" s="19">
        <v>0</v>
      </c>
      <c r="P330" s="16">
        <v>0</v>
      </c>
      <c r="Q330" s="19">
        <v>0</v>
      </c>
      <c r="R330" s="16">
        <v>0</v>
      </c>
      <c r="S330" s="25">
        <v>0</v>
      </c>
      <c r="T330" s="22">
        <v>6.3182369591589164E-5</v>
      </c>
      <c r="U330" s="25">
        <v>0</v>
      </c>
      <c r="V330" s="22">
        <v>0</v>
      </c>
      <c r="W330" s="25">
        <v>0</v>
      </c>
    </row>
    <row r="331" spans="1:23" x14ac:dyDescent="0.2">
      <c r="A331" s="6" t="s">
        <v>612</v>
      </c>
      <c r="B331" s="19">
        <v>0</v>
      </c>
      <c r="C331" s="16">
        <v>0</v>
      </c>
      <c r="D331" s="19">
        <v>0</v>
      </c>
      <c r="E331" s="16">
        <v>0</v>
      </c>
      <c r="F331" s="19">
        <v>0</v>
      </c>
      <c r="G331" s="16">
        <v>0</v>
      </c>
      <c r="H331" s="22">
        <v>7.1788914486350318E-5</v>
      </c>
      <c r="I331" s="25">
        <v>5.1514527096641252E-5</v>
      </c>
      <c r="J331" s="22">
        <v>0</v>
      </c>
      <c r="K331" s="25">
        <v>0</v>
      </c>
      <c r="L331" s="22">
        <v>0</v>
      </c>
      <c r="M331" s="25">
        <v>0</v>
      </c>
      <c r="N331" s="19">
        <v>0</v>
      </c>
      <c r="O331" s="19">
        <v>0</v>
      </c>
      <c r="P331" s="16">
        <v>0</v>
      </c>
      <c r="Q331" s="19">
        <v>0</v>
      </c>
      <c r="R331" s="16">
        <v>0</v>
      </c>
      <c r="S331" s="25">
        <v>0</v>
      </c>
      <c r="T331" s="22">
        <v>0</v>
      </c>
      <c r="U331" s="25">
        <v>0</v>
      </c>
      <c r="V331" s="22">
        <v>0</v>
      </c>
      <c r="W331" s="25">
        <v>0</v>
      </c>
    </row>
    <row r="332" spans="1:23" x14ac:dyDescent="0.2">
      <c r="A332" s="6" t="s">
        <v>611</v>
      </c>
      <c r="B332" s="19">
        <v>1.6724840023269343E-3</v>
      </c>
      <c r="C332" s="16">
        <v>0</v>
      </c>
      <c r="D332" s="19">
        <v>2.0607567951678806E-4</v>
      </c>
      <c r="E332" s="16">
        <v>3.6681044730496219E-4</v>
      </c>
      <c r="F332" s="19">
        <v>7.2476483288448764E-4</v>
      </c>
      <c r="G332" s="16">
        <v>3.6160760409133176E-4</v>
      </c>
      <c r="H332" s="22">
        <v>1.5140934691666612E-3</v>
      </c>
      <c r="I332" s="25">
        <v>6.1817432515969494E-4</v>
      </c>
      <c r="J332" s="22">
        <v>0</v>
      </c>
      <c r="K332" s="25">
        <v>8.0431110753639512E-5</v>
      </c>
      <c r="L332" s="22">
        <v>9.0377001205026674E-4</v>
      </c>
      <c r="M332" s="25">
        <v>6.9837046890588615E-4</v>
      </c>
      <c r="N332" s="19">
        <v>7.7694040867065501E-5</v>
      </c>
      <c r="O332" s="19">
        <v>8.9261734363397952E-4</v>
      </c>
      <c r="P332" s="16">
        <v>2.2632919905329728E-4</v>
      </c>
      <c r="Q332" s="19">
        <v>0</v>
      </c>
      <c r="R332" s="16">
        <v>4.9986432254102458E-5</v>
      </c>
      <c r="S332" s="25">
        <v>1.2236985322058131E-4</v>
      </c>
      <c r="T332" s="22">
        <v>1.2636473918317831E-3</v>
      </c>
      <c r="U332" s="25">
        <v>5.4749172396231218E-4</v>
      </c>
      <c r="V332" s="22">
        <v>0</v>
      </c>
      <c r="W332" s="25">
        <v>9.0665567690088609E-5</v>
      </c>
    </row>
    <row r="333" spans="1:23" x14ac:dyDescent="0.2">
      <c r="A333" s="6" t="s">
        <v>610</v>
      </c>
      <c r="B333" s="19">
        <v>3.7019408747157438E-4</v>
      </c>
      <c r="C333" s="16">
        <v>1.2465028669565939E-4</v>
      </c>
      <c r="D333" s="19">
        <v>3.3398472197548407E-4</v>
      </c>
      <c r="E333" s="16">
        <v>2.0378358183609005E-4</v>
      </c>
      <c r="F333" s="19">
        <v>0</v>
      </c>
      <c r="G333" s="16">
        <v>1.3775527774907877E-4</v>
      </c>
      <c r="H333" s="22">
        <v>2.6105059813218297E-5</v>
      </c>
      <c r="I333" s="25">
        <v>0</v>
      </c>
      <c r="J333" s="22">
        <v>1.3331555792560992E-5</v>
      </c>
      <c r="K333" s="25">
        <v>0</v>
      </c>
      <c r="L333" s="22">
        <v>1.8444285960209527E-5</v>
      </c>
      <c r="M333" s="25">
        <v>7.3162620552045231E-5</v>
      </c>
      <c r="N333" s="19">
        <v>7.5901101462440908E-4</v>
      </c>
      <c r="O333" s="19">
        <v>3.6336635227577924E-4</v>
      </c>
      <c r="P333" s="16">
        <v>7.3718653405931102E-4</v>
      </c>
      <c r="Q333" s="19">
        <v>1.894899783821292E-3</v>
      </c>
      <c r="R333" s="16">
        <v>9.068966994672875E-4</v>
      </c>
      <c r="S333" s="25">
        <v>6.4405185905569118E-6</v>
      </c>
      <c r="T333" s="22">
        <v>0</v>
      </c>
      <c r="U333" s="25">
        <v>4.4563279857397503E-5</v>
      </c>
      <c r="V333" s="22">
        <v>0</v>
      </c>
      <c r="W333" s="25">
        <v>4.1211621677313004E-5</v>
      </c>
    </row>
    <row r="334" spans="1:23" x14ac:dyDescent="0.2">
      <c r="A334" s="6" t="s">
        <v>609</v>
      </c>
      <c r="B334" s="19">
        <v>0</v>
      </c>
      <c r="C334" s="16">
        <v>0</v>
      </c>
      <c r="D334" s="19">
        <v>0</v>
      </c>
      <c r="E334" s="16">
        <v>0</v>
      </c>
      <c r="F334" s="19">
        <v>0</v>
      </c>
      <c r="G334" s="16">
        <v>0</v>
      </c>
      <c r="H334" s="22">
        <v>0</v>
      </c>
      <c r="I334" s="25">
        <v>0</v>
      </c>
      <c r="J334" s="22">
        <v>0</v>
      </c>
      <c r="K334" s="25">
        <v>0</v>
      </c>
      <c r="L334" s="22">
        <v>0</v>
      </c>
      <c r="M334" s="25">
        <v>0</v>
      </c>
      <c r="N334" s="19">
        <v>0</v>
      </c>
      <c r="O334" s="19">
        <v>0</v>
      </c>
      <c r="P334" s="16">
        <v>0</v>
      </c>
      <c r="Q334" s="19">
        <v>0</v>
      </c>
      <c r="R334" s="16">
        <v>0</v>
      </c>
      <c r="S334" s="25">
        <v>0</v>
      </c>
      <c r="T334" s="22">
        <v>0</v>
      </c>
      <c r="U334" s="25">
        <v>0</v>
      </c>
      <c r="V334" s="22">
        <v>5.0412436748145764E-5</v>
      </c>
      <c r="W334" s="25">
        <v>0</v>
      </c>
    </row>
    <row r="335" spans="1:23" x14ac:dyDescent="0.2">
      <c r="A335" s="6" t="s">
        <v>608</v>
      </c>
      <c r="B335" s="19">
        <v>0</v>
      </c>
      <c r="C335" s="16">
        <v>0</v>
      </c>
      <c r="D335" s="19">
        <v>0</v>
      </c>
      <c r="E335" s="16">
        <v>0</v>
      </c>
      <c r="F335" s="19">
        <v>0</v>
      </c>
      <c r="G335" s="16">
        <v>0</v>
      </c>
      <c r="H335" s="22">
        <v>0</v>
      </c>
      <c r="I335" s="25">
        <v>3.2196579435400785E-5</v>
      </c>
      <c r="J335" s="22">
        <v>1.3331555792560992E-5</v>
      </c>
      <c r="K335" s="25">
        <v>0</v>
      </c>
      <c r="L335" s="22">
        <v>0</v>
      </c>
      <c r="M335" s="25">
        <v>0</v>
      </c>
      <c r="N335" s="19">
        <v>0</v>
      </c>
      <c r="O335" s="19">
        <v>0</v>
      </c>
      <c r="P335" s="16">
        <v>0</v>
      </c>
      <c r="Q335" s="19">
        <v>2.6688729349595664E-5</v>
      </c>
      <c r="R335" s="16">
        <v>0</v>
      </c>
      <c r="S335" s="25">
        <v>0</v>
      </c>
      <c r="T335" s="22">
        <v>0</v>
      </c>
      <c r="U335" s="25">
        <v>3.1830914183855358E-5</v>
      </c>
      <c r="V335" s="22">
        <v>0</v>
      </c>
      <c r="W335" s="25">
        <v>5.7696270348238206E-5</v>
      </c>
    </row>
    <row r="336" spans="1:23" x14ac:dyDescent="0.2">
      <c r="A336" s="6" t="s">
        <v>607</v>
      </c>
      <c r="B336" s="19">
        <v>1.9831826114548629E-5</v>
      </c>
      <c r="C336" s="16">
        <v>0</v>
      </c>
      <c r="D336" s="19">
        <v>0</v>
      </c>
      <c r="E336" s="16">
        <v>0</v>
      </c>
      <c r="F336" s="19">
        <v>8.392013854451963E-5</v>
      </c>
      <c r="G336" s="16">
        <v>0</v>
      </c>
      <c r="H336" s="22">
        <v>0</v>
      </c>
      <c r="I336" s="25">
        <v>0</v>
      </c>
      <c r="J336" s="22">
        <v>0</v>
      </c>
      <c r="K336" s="25">
        <v>0</v>
      </c>
      <c r="L336" s="22">
        <v>2.459238128027937E-5</v>
      </c>
      <c r="M336" s="25">
        <v>0</v>
      </c>
      <c r="N336" s="19">
        <v>0</v>
      </c>
      <c r="O336" s="19">
        <v>2.3697805583202996E-5</v>
      </c>
      <c r="P336" s="16">
        <v>0</v>
      </c>
      <c r="Q336" s="19">
        <v>6.6721823373989161E-5</v>
      </c>
      <c r="R336" s="16">
        <v>3.5704594467216042E-5</v>
      </c>
      <c r="S336" s="25">
        <v>1.2881037181113824E-5</v>
      </c>
      <c r="T336" s="22">
        <v>0</v>
      </c>
      <c r="U336" s="25">
        <v>0</v>
      </c>
      <c r="V336" s="22">
        <v>1.8904663780554662E-5</v>
      </c>
      <c r="W336" s="25">
        <v>0</v>
      </c>
    </row>
    <row r="337" spans="1:23" x14ac:dyDescent="0.2">
      <c r="A337" s="6" t="s">
        <v>606</v>
      </c>
      <c r="B337" s="19">
        <v>2.5781373948913217E-4</v>
      </c>
      <c r="C337" s="16">
        <v>6.2325143347829697E-5</v>
      </c>
      <c r="D337" s="19">
        <v>9.9484810801208018E-5</v>
      </c>
      <c r="E337" s="16">
        <v>6.7927860612030034E-5</v>
      </c>
      <c r="F337" s="19">
        <v>7.7053945390877113E-4</v>
      </c>
      <c r="G337" s="16">
        <v>1.8080380204566588E-4</v>
      </c>
      <c r="H337" s="22">
        <v>1.3052529906609149E-4</v>
      </c>
      <c r="I337" s="25">
        <v>2.5757263548320626E-5</v>
      </c>
      <c r="J337" s="22">
        <v>7.3323556859085457E-5</v>
      </c>
      <c r="K337" s="25">
        <v>0</v>
      </c>
      <c r="L337" s="22">
        <v>0</v>
      </c>
      <c r="M337" s="25">
        <v>1.9953441968739608E-5</v>
      </c>
      <c r="N337" s="19">
        <v>0</v>
      </c>
      <c r="O337" s="19">
        <v>9.3211368627265116E-4</v>
      </c>
      <c r="P337" s="16">
        <v>1.8752990778701776E-4</v>
      </c>
      <c r="Q337" s="19">
        <v>5.0708585764231763E-4</v>
      </c>
      <c r="R337" s="16">
        <v>2.2136848569673945E-4</v>
      </c>
      <c r="S337" s="25">
        <v>1.9321555771670734E-5</v>
      </c>
      <c r="T337" s="22">
        <v>0</v>
      </c>
      <c r="U337" s="25">
        <v>0</v>
      </c>
      <c r="V337" s="22">
        <v>5.0412436748145764E-5</v>
      </c>
      <c r="W337" s="25">
        <v>0</v>
      </c>
    </row>
    <row r="338" spans="1:23" x14ac:dyDescent="0.2">
      <c r="A338" s="6" t="s">
        <v>605</v>
      </c>
      <c r="B338" s="19">
        <v>6.6106087048495426E-5</v>
      </c>
      <c r="C338" s="16">
        <v>0</v>
      </c>
      <c r="D338" s="19">
        <v>2.5581808491739212E-4</v>
      </c>
      <c r="E338" s="16">
        <v>1.6302686546887206E-4</v>
      </c>
      <c r="F338" s="19">
        <v>5.9507007331568475E-4</v>
      </c>
      <c r="G338" s="16">
        <v>1.3775527774907877E-4</v>
      </c>
      <c r="H338" s="22">
        <v>1.7620915373922351E-4</v>
      </c>
      <c r="I338" s="25">
        <v>1.3522563362868329E-4</v>
      </c>
      <c r="J338" s="22">
        <v>8.6655112651646451E-5</v>
      </c>
      <c r="K338" s="25">
        <v>6.7025925628032924E-5</v>
      </c>
      <c r="L338" s="22">
        <v>0</v>
      </c>
      <c r="M338" s="25">
        <v>3.9906883937479216E-5</v>
      </c>
      <c r="N338" s="19">
        <v>5.0799949797696671E-4</v>
      </c>
      <c r="O338" s="19">
        <v>3.8706415785898224E-4</v>
      </c>
      <c r="P338" s="16">
        <v>9.6998228165698841E-5</v>
      </c>
      <c r="Q338" s="19">
        <v>1.4678801142277615E-4</v>
      </c>
      <c r="R338" s="16">
        <v>1.1425470229509134E-4</v>
      </c>
      <c r="S338" s="25">
        <v>6.4405185905569114E-5</v>
      </c>
      <c r="T338" s="22">
        <v>1.0741002830570158E-4</v>
      </c>
      <c r="U338" s="25">
        <v>2.1008403361344539E-4</v>
      </c>
      <c r="V338" s="22">
        <v>1.1342798268332798E-4</v>
      </c>
      <c r="W338" s="25">
        <v>2.4726973006387802E-5</v>
      </c>
    </row>
    <row r="339" spans="1:23" x14ac:dyDescent="0.2">
      <c r="A339" s="6" t="s">
        <v>604</v>
      </c>
      <c r="B339" s="19">
        <v>0</v>
      </c>
      <c r="C339" s="16">
        <v>2.07750477826099E-5</v>
      </c>
      <c r="D339" s="19">
        <v>0</v>
      </c>
      <c r="E339" s="16">
        <v>0</v>
      </c>
      <c r="F339" s="19">
        <v>0</v>
      </c>
      <c r="G339" s="16">
        <v>0</v>
      </c>
      <c r="H339" s="22">
        <v>0</v>
      </c>
      <c r="I339" s="25">
        <v>0</v>
      </c>
      <c r="J339" s="22">
        <v>0</v>
      </c>
      <c r="K339" s="25">
        <v>0</v>
      </c>
      <c r="L339" s="22">
        <v>4.3036667240488894E-5</v>
      </c>
      <c r="M339" s="25">
        <v>0</v>
      </c>
      <c r="N339" s="19">
        <v>0</v>
      </c>
      <c r="O339" s="19">
        <v>0</v>
      </c>
      <c r="P339" s="16">
        <v>0</v>
      </c>
      <c r="Q339" s="19">
        <v>0</v>
      </c>
      <c r="R339" s="16">
        <v>0</v>
      </c>
      <c r="S339" s="25">
        <v>0</v>
      </c>
      <c r="T339" s="22">
        <v>0</v>
      </c>
      <c r="U339" s="25">
        <v>0</v>
      </c>
      <c r="V339" s="22">
        <v>0</v>
      </c>
      <c r="W339" s="25">
        <v>0</v>
      </c>
    </row>
    <row r="340" spans="1:23" x14ac:dyDescent="0.2">
      <c r="A340" s="6" t="s">
        <v>603</v>
      </c>
      <c r="B340" s="19">
        <v>6.3263525305410125E-3</v>
      </c>
      <c r="C340" s="16">
        <v>2.3337303675798455E-3</v>
      </c>
      <c r="D340" s="19">
        <v>2.6150293124888968E-3</v>
      </c>
      <c r="E340" s="16">
        <v>2.2891689026254118E-3</v>
      </c>
      <c r="F340" s="19">
        <v>7.3315684673893973E-3</v>
      </c>
      <c r="G340" s="16">
        <v>2.1696456245479906E-3</v>
      </c>
      <c r="H340" s="22">
        <v>9.1367709346264051E-4</v>
      </c>
      <c r="I340" s="25">
        <v>3.9923758499896972E-4</v>
      </c>
      <c r="J340" s="22">
        <v>1.1931742434342087E-3</v>
      </c>
      <c r="K340" s="25">
        <v>5.2950481246146007E-4</v>
      </c>
      <c r="L340" s="22">
        <v>8.6688144012984773E-4</v>
      </c>
      <c r="M340" s="25">
        <v>6.1855670103092789E-4</v>
      </c>
      <c r="N340" s="19">
        <v>5.0262067976309293E-3</v>
      </c>
      <c r="O340" s="19">
        <v>1.7378390761015529E-3</v>
      </c>
      <c r="P340" s="16">
        <v>2.276225087621733E-3</v>
      </c>
      <c r="Q340" s="19">
        <v>2.2551976300408338E-3</v>
      </c>
      <c r="R340" s="16">
        <v>2.5850126394264413E-3</v>
      </c>
      <c r="S340" s="25">
        <v>8.8879156549685377E-4</v>
      </c>
      <c r="T340" s="22">
        <v>9.2878083299636083E-4</v>
      </c>
      <c r="U340" s="25">
        <v>5.4112554112554113E-4</v>
      </c>
      <c r="V340" s="22">
        <v>1.4556591111027091E-3</v>
      </c>
      <c r="W340" s="25">
        <v>5.6872037914691947E-4</v>
      </c>
    </row>
    <row r="341" spans="1:23" x14ac:dyDescent="0.2">
      <c r="A341" s="6" t="s">
        <v>602</v>
      </c>
      <c r="B341" s="19">
        <v>5.9495478343645881E-5</v>
      </c>
      <c r="C341" s="16">
        <v>0</v>
      </c>
      <c r="D341" s="19">
        <v>0</v>
      </c>
      <c r="E341" s="16">
        <v>0</v>
      </c>
      <c r="F341" s="19">
        <v>0</v>
      </c>
      <c r="G341" s="16">
        <v>0</v>
      </c>
      <c r="H341" s="22">
        <v>1.0442023925287319E-4</v>
      </c>
      <c r="I341" s="25">
        <v>0</v>
      </c>
      <c r="J341" s="22">
        <v>3.3328889481402477E-5</v>
      </c>
      <c r="K341" s="25">
        <v>0</v>
      </c>
      <c r="L341" s="22">
        <v>0</v>
      </c>
      <c r="M341" s="25">
        <v>0</v>
      </c>
      <c r="N341" s="19">
        <v>0</v>
      </c>
      <c r="O341" s="19">
        <v>5.1345245430273157E-4</v>
      </c>
      <c r="P341" s="16">
        <v>0</v>
      </c>
      <c r="Q341" s="19">
        <v>4.0033094024393497E-5</v>
      </c>
      <c r="R341" s="16">
        <v>1.0711378340164812E-4</v>
      </c>
      <c r="S341" s="25">
        <v>5.1524148724455294E-5</v>
      </c>
      <c r="T341" s="22">
        <v>3.7909421754953497E-5</v>
      </c>
      <c r="U341" s="25">
        <v>1.2732365673542144E-5</v>
      </c>
      <c r="V341" s="22">
        <v>1.7014197402499197E-4</v>
      </c>
      <c r="W341" s="25">
        <v>0</v>
      </c>
    </row>
    <row r="342" spans="1:23" x14ac:dyDescent="0.2">
      <c r="A342" s="6" t="s">
        <v>601</v>
      </c>
      <c r="B342" s="19">
        <v>0</v>
      </c>
      <c r="C342" s="16">
        <v>0</v>
      </c>
      <c r="D342" s="19">
        <v>0</v>
      </c>
      <c r="E342" s="16">
        <v>0</v>
      </c>
      <c r="F342" s="19">
        <v>0</v>
      </c>
      <c r="G342" s="16">
        <v>0</v>
      </c>
      <c r="H342" s="22">
        <v>1.4357782897270064E-4</v>
      </c>
      <c r="I342" s="25">
        <v>7.7271790644961881E-5</v>
      </c>
      <c r="J342" s="22">
        <v>9.9986668444207444E-5</v>
      </c>
      <c r="K342" s="25">
        <v>0</v>
      </c>
      <c r="L342" s="22">
        <v>3.381452426038413E-4</v>
      </c>
      <c r="M342" s="25">
        <v>1.6627868307283008E-4</v>
      </c>
      <c r="N342" s="19">
        <v>0</v>
      </c>
      <c r="O342" s="19">
        <v>0</v>
      </c>
      <c r="P342" s="16">
        <v>0</v>
      </c>
      <c r="Q342" s="19">
        <v>0</v>
      </c>
      <c r="R342" s="16">
        <v>0</v>
      </c>
      <c r="S342" s="25">
        <v>0</v>
      </c>
      <c r="T342" s="22">
        <v>3.9173069146785278E-4</v>
      </c>
      <c r="U342" s="25">
        <v>1.0822510822510823E-4</v>
      </c>
      <c r="V342" s="22">
        <v>1.0712642808980975E-4</v>
      </c>
      <c r="W342" s="25">
        <v>0</v>
      </c>
    </row>
    <row r="343" spans="1:23" x14ac:dyDescent="0.2">
      <c r="A343" s="6" t="s">
        <v>600</v>
      </c>
      <c r="B343" s="19">
        <v>0</v>
      </c>
      <c r="C343" s="16">
        <v>0</v>
      </c>
      <c r="D343" s="19">
        <v>0</v>
      </c>
      <c r="E343" s="16">
        <v>0</v>
      </c>
      <c r="F343" s="19">
        <v>9.0023421347757424E-4</v>
      </c>
      <c r="G343" s="16">
        <v>4.7353376726245826E-4</v>
      </c>
      <c r="H343" s="22">
        <v>0</v>
      </c>
      <c r="I343" s="25">
        <v>0</v>
      </c>
      <c r="J343" s="22">
        <v>0</v>
      </c>
      <c r="K343" s="25">
        <v>0</v>
      </c>
      <c r="L343" s="22">
        <v>1.5370238300174607E-4</v>
      </c>
      <c r="M343" s="25">
        <v>1.9288327236448289E-4</v>
      </c>
      <c r="N343" s="19">
        <v>0</v>
      </c>
      <c r="O343" s="19">
        <v>0</v>
      </c>
      <c r="P343" s="16">
        <v>0</v>
      </c>
      <c r="Q343" s="19">
        <v>9.3410552723584826E-5</v>
      </c>
      <c r="R343" s="16">
        <v>0</v>
      </c>
      <c r="S343" s="25">
        <v>0</v>
      </c>
      <c r="T343" s="22">
        <v>2.5904771532551555E-4</v>
      </c>
      <c r="U343" s="25">
        <v>3.819709702062643E-5</v>
      </c>
      <c r="V343" s="22">
        <v>0</v>
      </c>
      <c r="W343" s="25">
        <v>0</v>
      </c>
    </row>
    <row r="344" spans="1:23" x14ac:dyDescent="0.2">
      <c r="A344" s="6" t="s">
        <v>599</v>
      </c>
      <c r="B344" s="19">
        <v>0</v>
      </c>
      <c r="C344" s="16">
        <v>0</v>
      </c>
      <c r="D344" s="19">
        <v>0</v>
      </c>
      <c r="E344" s="16">
        <v>0</v>
      </c>
      <c r="F344" s="19">
        <v>0</v>
      </c>
      <c r="G344" s="16">
        <v>8.6097048593174229E-5</v>
      </c>
      <c r="H344" s="22">
        <v>0</v>
      </c>
      <c r="I344" s="25">
        <v>0</v>
      </c>
      <c r="J344" s="22">
        <v>0</v>
      </c>
      <c r="K344" s="25">
        <v>0</v>
      </c>
      <c r="L344" s="22">
        <v>0</v>
      </c>
      <c r="M344" s="25">
        <v>0</v>
      </c>
      <c r="N344" s="19">
        <v>0</v>
      </c>
      <c r="O344" s="19">
        <v>0</v>
      </c>
      <c r="P344" s="16">
        <v>0</v>
      </c>
      <c r="Q344" s="19">
        <v>0</v>
      </c>
      <c r="R344" s="16">
        <v>0</v>
      </c>
      <c r="S344" s="25">
        <v>0</v>
      </c>
      <c r="T344" s="22">
        <v>0</v>
      </c>
      <c r="U344" s="25">
        <v>0</v>
      </c>
      <c r="V344" s="22">
        <v>0</v>
      </c>
      <c r="W344" s="25">
        <v>0</v>
      </c>
    </row>
    <row r="345" spans="1:23" x14ac:dyDescent="0.2">
      <c r="A345" s="6" t="s">
        <v>598</v>
      </c>
      <c r="B345" s="19">
        <v>0</v>
      </c>
      <c r="C345" s="16">
        <v>0</v>
      </c>
      <c r="D345" s="19">
        <v>0</v>
      </c>
      <c r="E345" s="16">
        <v>0</v>
      </c>
      <c r="F345" s="19">
        <v>0</v>
      </c>
      <c r="G345" s="16">
        <v>0</v>
      </c>
      <c r="H345" s="22">
        <v>0</v>
      </c>
      <c r="I345" s="25">
        <v>0</v>
      </c>
      <c r="J345" s="22">
        <v>0</v>
      </c>
      <c r="K345" s="25">
        <v>0</v>
      </c>
      <c r="L345" s="22">
        <v>0</v>
      </c>
      <c r="M345" s="25">
        <v>0</v>
      </c>
      <c r="N345" s="19">
        <v>0</v>
      </c>
      <c r="O345" s="19">
        <v>0</v>
      </c>
      <c r="P345" s="16">
        <v>0</v>
      </c>
      <c r="Q345" s="19">
        <v>0</v>
      </c>
      <c r="R345" s="16">
        <v>0</v>
      </c>
      <c r="S345" s="25">
        <v>0</v>
      </c>
      <c r="T345" s="22">
        <v>0</v>
      </c>
      <c r="U345" s="25">
        <v>1.9098548510313215E-5</v>
      </c>
      <c r="V345" s="22">
        <v>0</v>
      </c>
      <c r="W345" s="25">
        <v>0</v>
      </c>
    </row>
    <row r="346" spans="1:23" x14ac:dyDescent="0.2">
      <c r="A346" s="6" t="s">
        <v>597</v>
      </c>
      <c r="B346" s="19">
        <v>0</v>
      </c>
      <c r="C346" s="16">
        <v>0</v>
      </c>
      <c r="D346" s="19">
        <v>0</v>
      </c>
      <c r="E346" s="16">
        <v>0</v>
      </c>
      <c r="F346" s="19">
        <v>2.3650220862546443E-4</v>
      </c>
      <c r="G346" s="16">
        <v>0</v>
      </c>
      <c r="H346" s="22">
        <v>0</v>
      </c>
      <c r="I346" s="25">
        <v>0</v>
      </c>
      <c r="J346" s="22">
        <v>0</v>
      </c>
      <c r="K346" s="25">
        <v>0</v>
      </c>
      <c r="L346" s="22">
        <v>0</v>
      </c>
      <c r="M346" s="25">
        <v>0</v>
      </c>
      <c r="N346" s="19">
        <v>0</v>
      </c>
      <c r="O346" s="19">
        <v>0</v>
      </c>
      <c r="P346" s="16">
        <v>0</v>
      </c>
      <c r="Q346" s="19">
        <v>0</v>
      </c>
      <c r="R346" s="16">
        <v>0</v>
      </c>
      <c r="S346" s="25">
        <v>0</v>
      </c>
      <c r="T346" s="22">
        <v>0</v>
      </c>
      <c r="U346" s="25">
        <v>0</v>
      </c>
      <c r="V346" s="22">
        <v>0</v>
      </c>
      <c r="W346" s="25">
        <v>0</v>
      </c>
    </row>
    <row r="347" spans="1:23" x14ac:dyDescent="0.2">
      <c r="A347" s="6" t="s">
        <v>596</v>
      </c>
      <c r="B347" s="19">
        <v>0</v>
      </c>
      <c r="C347" s="16">
        <v>0</v>
      </c>
      <c r="D347" s="19">
        <v>0</v>
      </c>
      <c r="E347" s="16">
        <v>0</v>
      </c>
      <c r="F347" s="19">
        <v>0</v>
      </c>
      <c r="G347" s="16">
        <v>0</v>
      </c>
      <c r="H347" s="22">
        <v>0</v>
      </c>
      <c r="I347" s="25">
        <v>0</v>
      </c>
      <c r="J347" s="22">
        <v>4.666044527396347E-5</v>
      </c>
      <c r="K347" s="25">
        <v>9.3836295879246099E-5</v>
      </c>
      <c r="L347" s="22">
        <v>1.8444285960209527E-5</v>
      </c>
      <c r="M347" s="25">
        <v>0</v>
      </c>
      <c r="N347" s="19">
        <v>0</v>
      </c>
      <c r="O347" s="19">
        <v>0</v>
      </c>
      <c r="P347" s="16">
        <v>0</v>
      </c>
      <c r="Q347" s="19">
        <v>0</v>
      </c>
      <c r="R347" s="16">
        <v>0</v>
      </c>
      <c r="S347" s="25">
        <v>0</v>
      </c>
      <c r="T347" s="22">
        <v>3.7909421754953497E-5</v>
      </c>
      <c r="U347" s="25">
        <v>1.9098548510313215E-5</v>
      </c>
      <c r="V347" s="22">
        <v>0</v>
      </c>
      <c r="W347" s="25">
        <v>7.4180919019163407E-5</v>
      </c>
    </row>
    <row r="348" spans="1:23" x14ac:dyDescent="0.2">
      <c r="A348" s="6" t="s">
        <v>595</v>
      </c>
      <c r="B348" s="19">
        <v>0</v>
      </c>
      <c r="C348" s="16">
        <v>0</v>
      </c>
      <c r="D348" s="19">
        <v>0</v>
      </c>
      <c r="E348" s="16">
        <v>0</v>
      </c>
      <c r="F348" s="19">
        <v>0</v>
      </c>
      <c r="G348" s="16">
        <v>0</v>
      </c>
      <c r="H348" s="22">
        <v>0</v>
      </c>
      <c r="I348" s="25">
        <v>0</v>
      </c>
      <c r="J348" s="22">
        <v>2.6663111585121983E-5</v>
      </c>
      <c r="K348" s="25">
        <v>4.0215555376819756E-5</v>
      </c>
      <c r="L348" s="22">
        <v>0</v>
      </c>
      <c r="M348" s="25">
        <v>0</v>
      </c>
      <c r="N348" s="19">
        <v>0</v>
      </c>
      <c r="O348" s="19">
        <v>0</v>
      </c>
      <c r="P348" s="16">
        <v>0</v>
      </c>
      <c r="Q348" s="19">
        <v>0</v>
      </c>
      <c r="R348" s="16">
        <v>0</v>
      </c>
      <c r="S348" s="25">
        <v>0</v>
      </c>
      <c r="T348" s="22">
        <v>0</v>
      </c>
      <c r="U348" s="25">
        <v>2.5464731347084288E-5</v>
      </c>
      <c r="V348" s="22">
        <v>0</v>
      </c>
      <c r="W348" s="25">
        <v>0</v>
      </c>
    </row>
    <row r="349" spans="1:23" x14ac:dyDescent="0.2">
      <c r="A349" s="6" t="s">
        <v>594</v>
      </c>
      <c r="B349" s="19">
        <v>0</v>
      </c>
      <c r="C349" s="16">
        <v>0</v>
      </c>
      <c r="D349" s="19">
        <v>0</v>
      </c>
      <c r="E349" s="16">
        <v>0</v>
      </c>
      <c r="F349" s="19">
        <v>0</v>
      </c>
      <c r="G349" s="16">
        <v>0</v>
      </c>
      <c r="H349" s="22">
        <v>0</v>
      </c>
      <c r="I349" s="25">
        <v>4.5075211209561096E-5</v>
      </c>
      <c r="J349" s="22">
        <v>0</v>
      </c>
      <c r="K349" s="25">
        <v>0</v>
      </c>
      <c r="L349" s="22">
        <v>0</v>
      </c>
      <c r="M349" s="25">
        <v>0</v>
      </c>
      <c r="N349" s="19">
        <v>0</v>
      </c>
      <c r="O349" s="19">
        <v>0</v>
      </c>
      <c r="P349" s="16">
        <v>0</v>
      </c>
      <c r="Q349" s="19">
        <v>0</v>
      </c>
      <c r="R349" s="16">
        <v>0</v>
      </c>
      <c r="S349" s="25">
        <v>0</v>
      </c>
      <c r="T349" s="22">
        <v>0</v>
      </c>
      <c r="U349" s="25">
        <v>0</v>
      </c>
      <c r="V349" s="22">
        <v>0</v>
      </c>
      <c r="W349" s="25">
        <v>0</v>
      </c>
    </row>
    <row r="350" spans="1:23" x14ac:dyDescent="0.2">
      <c r="A350" s="6" t="s">
        <v>593</v>
      </c>
      <c r="B350" s="19">
        <v>0</v>
      </c>
      <c r="C350" s="16">
        <v>0</v>
      </c>
      <c r="D350" s="19">
        <v>0</v>
      </c>
      <c r="E350" s="16">
        <v>0</v>
      </c>
      <c r="F350" s="19">
        <v>0</v>
      </c>
      <c r="G350" s="16">
        <v>0</v>
      </c>
      <c r="H350" s="22">
        <v>0</v>
      </c>
      <c r="I350" s="25">
        <v>1.0946837008036267E-4</v>
      </c>
      <c r="J350" s="22">
        <v>0</v>
      </c>
      <c r="K350" s="25">
        <v>0</v>
      </c>
      <c r="L350" s="22">
        <v>0</v>
      </c>
      <c r="M350" s="25">
        <v>0</v>
      </c>
      <c r="N350" s="19">
        <v>0</v>
      </c>
      <c r="O350" s="19">
        <v>0</v>
      </c>
      <c r="P350" s="16">
        <v>0</v>
      </c>
      <c r="Q350" s="19">
        <v>0</v>
      </c>
      <c r="R350" s="16">
        <v>0</v>
      </c>
      <c r="S350" s="25">
        <v>0</v>
      </c>
      <c r="T350" s="22">
        <v>0</v>
      </c>
      <c r="U350" s="25">
        <v>3.819709702062643E-5</v>
      </c>
      <c r="V350" s="22">
        <v>0</v>
      </c>
      <c r="W350" s="25">
        <v>0</v>
      </c>
    </row>
    <row r="351" spans="1:23" x14ac:dyDescent="0.2">
      <c r="A351" s="6" t="s">
        <v>592</v>
      </c>
      <c r="B351" s="19">
        <v>3.3053043524247713E-5</v>
      </c>
      <c r="C351" s="16">
        <v>0</v>
      </c>
      <c r="D351" s="19">
        <v>0</v>
      </c>
      <c r="E351" s="16">
        <v>0</v>
      </c>
      <c r="F351" s="19">
        <v>0</v>
      </c>
      <c r="G351" s="16">
        <v>0</v>
      </c>
      <c r="H351" s="22">
        <v>0</v>
      </c>
      <c r="I351" s="25">
        <v>0</v>
      </c>
      <c r="J351" s="22">
        <v>0</v>
      </c>
      <c r="K351" s="25">
        <v>0</v>
      </c>
      <c r="L351" s="22">
        <v>0</v>
      </c>
      <c r="M351" s="25">
        <v>0</v>
      </c>
      <c r="N351" s="19">
        <v>0</v>
      </c>
      <c r="O351" s="19">
        <v>0</v>
      </c>
      <c r="P351" s="16">
        <v>0</v>
      </c>
      <c r="Q351" s="19">
        <v>0</v>
      </c>
      <c r="R351" s="16">
        <v>0</v>
      </c>
      <c r="S351" s="25">
        <v>0</v>
      </c>
      <c r="T351" s="22">
        <v>2.5272947836635664E-5</v>
      </c>
      <c r="U351" s="25">
        <v>0</v>
      </c>
      <c r="V351" s="22">
        <v>0</v>
      </c>
      <c r="W351" s="25">
        <v>0</v>
      </c>
    </row>
    <row r="352" spans="1:23" x14ac:dyDescent="0.2">
      <c r="A352" s="6" t="s">
        <v>591</v>
      </c>
      <c r="B352" s="19">
        <v>0</v>
      </c>
      <c r="C352" s="16">
        <v>0</v>
      </c>
      <c r="D352" s="19">
        <v>0</v>
      </c>
      <c r="E352" s="16">
        <v>0</v>
      </c>
      <c r="F352" s="19">
        <v>0</v>
      </c>
      <c r="G352" s="16">
        <v>0</v>
      </c>
      <c r="H352" s="22">
        <v>0</v>
      </c>
      <c r="I352" s="25">
        <v>0</v>
      </c>
      <c r="J352" s="22">
        <v>0</v>
      </c>
      <c r="K352" s="25">
        <v>0</v>
      </c>
      <c r="L352" s="22">
        <v>0</v>
      </c>
      <c r="M352" s="25">
        <v>0</v>
      </c>
      <c r="N352" s="19">
        <v>0</v>
      </c>
      <c r="O352" s="19">
        <v>0</v>
      </c>
      <c r="P352" s="16">
        <v>0</v>
      </c>
      <c r="Q352" s="19">
        <v>0</v>
      </c>
      <c r="R352" s="16">
        <v>0</v>
      </c>
      <c r="S352" s="25">
        <v>0</v>
      </c>
      <c r="T352" s="22">
        <v>0</v>
      </c>
      <c r="U352" s="25">
        <v>2.5464731347084288E-5</v>
      </c>
      <c r="V352" s="22">
        <v>0</v>
      </c>
      <c r="W352" s="25">
        <v>0</v>
      </c>
    </row>
    <row r="353" spans="1:23" x14ac:dyDescent="0.2">
      <c r="A353" s="6" t="s">
        <v>590</v>
      </c>
      <c r="B353" s="19">
        <v>0</v>
      </c>
      <c r="C353" s="16">
        <v>1.1080025484058613E-4</v>
      </c>
      <c r="D353" s="19">
        <v>0</v>
      </c>
      <c r="E353" s="16">
        <v>0</v>
      </c>
      <c r="F353" s="19">
        <v>9.7652524851804664E-4</v>
      </c>
      <c r="G353" s="16">
        <v>2.1524262148293557E-4</v>
      </c>
      <c r="H353" s="22">
        <v>2.4147180327226925E-4</v>
      </c>
      <c r="I353" s="25">
        <v>1.1590768596744281E-4</v>
      </c>
      <c r="J353" s="22">
        <v>1.1998400213304893E-4</v>
      </c>
      <c r="K353" s="25">
        <v>0</v>
      </c>
      <c r="L353" s="22">
        <v>1.7214666896195557E-4</v>
      </c>
      <c r="M353" s="25">
        <v>1.5297638842700365E-4</v>
      </c>
      <c r="N353" s="19">
        <v>2.0917626387286864E-4</v>
      </c>
      <c r="O353" s="19">
        <v>0</v>
      </c>
      <c r="P353" s="16">
        <v>0</v>
      </c>
      <c r="Q353" s="19">
        <v>0</v>
      </c>
      <c r="R353" s="16">
        <v>0</v>
      </c>
      <c r="S353" s="25">
        <v>0</v>
      </c>
      <c r="T353" s="22">
        <v>5.0545895673271327E-5</v>
      </c>
      <c r="U353" s="25">
        <v>7.0028011204481788E-5</v>
      </c>
      <c r="V353" s="22">
        <v>6.9317100528700436E-5</v>
      </c>
      <c r="W353" s="25">
        <v>4.9453946012775605E-5</v>
      </c>
    </row>
    <row r="354" spans="1:23" x14ac:dyDescent="0.2">
      <c r="A354" s="6" t="s">
        <v>589</v>
      </c>
      <c r="B354" s="19">
        <v>0</v>
      </c>
      <c r="C354" s="16">
        <v>0</v>
      </c>
      <c r="D354" s="19">
        <v>0</v>
      </c>
      <c r="E354" s="16">
        <v>1.3585572122406004E-5</v>
      </c>
      <c r="F354" s="19">
        <v>0</v>
      </c>
      <c r="G354" s="16">
        <v>0</v>
      </c>
      <c r="H354" s="22">
        <v>3.9157589719827446E-5</v>
      </c>
      <c r="I354" s="25">
        <v>9.0150422419122192E-5</v>
      </c>
      <c r="J354" s="22">
        <v>3.9994667377682974E-5</v>
      </c>
      <c r="K354" s="25">
        <v>3.3512962814016462E-5</v>
      </c>
      <c r="L354" s="22">
        <v>0</v>
      </c>
      <c r="M354" s="25">
        <v>1.2637179913535084E-4</v>
      </c>
      <c r="N354" s="19">
        <v>3.7651727497116356E-4</v>
      </c>
      <c r="O354" s="19">
        <v>0</v>
      </c>
      <c r="P354" s="16">
        <v>1.2933097088759846E-5</v>
      </c>
      <c r="Q354" s="19">
        <v>0</v>
      </c>
      <c r="R354" s="16">
        <v>3.5704594467216042E-5</v>
      </c>
      <c r="S354" s="25">
        <v>9.6607778858353671E-5</v>
      </c>
      <c r="T354" s="22">
        <v>1.2004650222401941E-4</v>
      </c>
      <c r="U354" s="25">
        <v>1.4005602240896358E-4</v>
      </c>
      <c r="V354" s="22">
        <v>9.4523318902773305E-5</v>
      </c>
      <c r="W354" s="25">
        <v>0</v>
      </c>
    </row>
    <row r="355" spans="1:23" x14ac:dyDescent="0.2">
      <c r="A355" s="6" t="s">
        <v>588</v>
      </c>
      <c r="B355" s="19">
        <v>0</v>
      </c>
      <c r="C355" s="16">
        <v>0</v>
      </c>
      <c r="D355" s="19">
        <v>0</v>
      </c>
      <c r="E355" s="16">
        <v>0</v>
      </c>
      <c r="F355" s="19">
        <v>0</v>
      </c>
      <c r="G355" s="16">
        <v>0</v>
      </c>
      <c r="H355" s="22">
        <v>0</v>
      </c>
      <c r="I355" s="25">
        <v>0</v>
      </c>
      <c r="J355" s="22">
        <v>0</v>
      </c>
      <c r="K355" s="25">
        <v>0</v>
      </c>
      <c r="L355" s="22">
        <v>0</v>
      </c>
      <c r="M355" s="25">
        <v>0</v>
      </c>
      <c r="N355" s="19">
        <v>0</v>
      </c>
      <c r="O355" s="19">
        <v>0</v>
      </c>
      <c r="P355" s="16">
        <v>0</v>
      </c>
      <c r="Q355" s="19">
        <v>0</v>
      </c>
      <c r="R355" s="16">
        <v>0</v>
      </c>
      <c r="S355" s="25">
        <v>0</v>
      </c>
      <c r="T355" s="22">
        <v>2.5272947836635664E-5</v>
      </c>
      <c r="U355" s="25">
        <v>0</v>
      </c>
      <c r="V355" s="22">
        <v>0</v>
      </c>
      <c r="W355" s="25">
        <v>0</v>
      </c>
    </row>
    <row r="356" spans="1:23" x14ac:dyDescent="0.2">
      <c r="A356" s="6" t="s">
        <v>587</v>
      </c>
      <c r="B356" s="19">
        <v>0</v>
      </c>
      <c r="C356" s="16">
        <v>0</v>
      </c>
      <c r="D356" s="19">
        <v>0</v>
      </c>
      <c r="E356" s="16">
        <v>0</v>
      </c>
      <c r="F356" s="19">
        <v>0</v>
      </c>
      <c r="G356" s="16">
        <v>1.0331645831180907E-4</v>
      </c>
      <c r="H356" s="22">
        <v>0</v>
      </c>
      <c r="I356" s="25">
        <v>0</v>
      </c>
      <c r="J356" s="22">
        <v>0</v>
      </c>
      <c r="K356" s="25">
        <v>0</v>
      </c>
      <c r="L356" s="22">
        <v>0</v>
      </c>
      <c r="M356" s="25">
        <v>0</v>
      </c>
      <c r="N356" s="19">
        <v>0</v>
      </c>
      <c r="O356" s="19">
        <v>0</v>
      </c>
      <c r="P356" s="16">
        <v>0</v>
      </c>
      <c r="Q356" s="19">
        <v>0</v>
      </c>
      <c r="R356" s="16">
        <v>0</v>
      </c>
      <c r="S356" s="25">
        <v>0</v>
      </c>
      <c r="T356" s="22">
        <v>0</v>
      </c>
      <c r="U356" s="25">
        <v>0</v>
      </c>
      <c r="V356" s="22">
        <v>0</v>
      </c>
      <c r="W356" s="25">
        <v>0</v>
      </c>
    </row>
    <row r="357" spans="1:23" x14ac:dyDescent="0.2">
      <c r="A357" s="6" t="s">
        <v>586</v>
      </c>
      <c r="B357" s="19">
        <v>6.1478660955100741E-4</v>
      </c>
      <c r="C357" s="16">
        <v>3.601008282319049E-4</v>
      </c>
      <c r="D357" s="19">
        <v>2.4160596908864808E-3</v>
      </c>
      <c r="E357" s="16">
        <v>9.7136840675202932E-4</v>
      </c>
      <c r="F357" s="19">
        <v>2.0522288425887073E-3</v>
      </c>
      <c r="G357" s="16">
        <v>2.212694148844578E-3</v>
      </c>
      <c r="H357" s="22">
        <v>2.8715565794540125E-3</v>
      </c>
      <c r="I357" s="25">
        <v>1.2878631774160314E-4</v>
      </c>
      <c r="J357" s="22">
        <v>3.3995467271030527E-4</v>
      </c>
      <c r="K357" s="25">
        <v>4.0215555376819756E-5</v>
      </c>
      <c r="L357" s="22">
        <v>1.3894695423357847E-3</v>
      </c>
      <c r="M357" s="25">
        <v>2.0352510808114401E-3</v>
      </c>
      <c r="N357" s="19">
        <v>2.061880315318277E-3</v>
      </c>
      <c r="O357" s="19">
        <v>2.3539820212648312E-3</v>
      </c>
      <c r="P357" s="16">
        <v>2.3732233157874316E-3</v>
      </c>
      <c r="Q357" s="19">
        <v>1.4678801142277618E-3</v>
      </c>
      <c r="R357" s="16">
        <v>2.5921535583198841E-3</v>
      </c>
      <c r="S357" s="25">
        <v>5.1524148724455294E-5</v>
      </c>
      <c r="T357" s="22">
        <v>3.0706631621512338E-3</v>
      </c>
      <c r="U357" s="25">
        <v>2.113572701807996E-3</v>
      </c>
      <c r="V357" s="22">
        <v>1.5501824300054824E-3</v>
      </c>
      <c r="W357" s="25">
        <v>1.4836183803832681E-4</v>
      </c>
    </row>
    <row r="358" spans="1:23" x14ac:dyDescent="0.2">
      <c r="A358" s="6" t="s">
        <v>585</v>
      </c>
      <c r="B358" s="19">
        <v>0</v>
      </c>
      <c r="C358" s="16">
        <v>0</v>
      </c>
      <c r="D358" s="19">
        <v>1.2009237875288685E-3</v>
      </c>
      <c r="E358" s="16">
        <v>4.9587338246781922E-4</v>
      </c>
      <c r="F358" s="19">
        <v>3.4330965768212575E-4</v>
      </c>
      <c r="G358" s="16">
        <v>3.9604642352860145E-4</v>
      </c>
      <c r="H358" s="22">
        <v>2.3494553831896468E-4</v>
      </c>
      <c r="I358" s="25">
        <v>3.2196579435400785E-5</v>
      </c>
      <c r="J358" s="22">
        <v>3.3328889481402477E-5</v>
      </c>
      <c r="K358" s="25">
        <v>0</v>
      </c>
      <c r="L358" s="22">
        <v>0</v>
      </c>
      <c r="M358" s="25">
        <v>0</v>
      </c>
      <c r="N358" s="19">
        <v>0</v>
      </c>
      <c r="O358" s="19">
        <v>3.238700096371076E-4</v>
      </c>
      <c r="P358" s="16">
        <v>3.7505981557403551E-4</v>
      </c>
      <c r="Q358" s="19">
        <v>5.6046331634150895E-4</v>
      </c>
      <c r="R358" s="16">
        <v>1.7852297233608022E-4</v>
      </c>
      <c r="S358" s="25">
        <v>0</v>
      </c>
      <c r="T358" s="22">
        <v>0</v>
      </c>
      <c r="U358" s="25">
        <v>0</v>
      </c>
      <c r="V358" s="22">
        <v>0</v>
      </c>
      <c r="W358" s="25">
        <v>0</v>
      </c>
    </row>
    <row r="359" spans="1:23" x14ac:dyDescent="0.2">
      <c r="A359" s="6" t="s">
        <v>584</v>
      </c>
      <c r="B359" s="19">
        <v>0</v>
      </c>
      <c r="C359" s="16">
        <v>0</v>
      </c>
      <c r="D359" s="19">
        <v>0</v>
      </c>
      <c r="E359" s="16">
        <v>0</v>
      </c>
      <c r="F359" s="19">
        <v>0</v>
      </c>
      <c r="G359" s="16">
        <v>0</v>
      </c>
      <c r="H359" s="22">
        <v>0</v>
      </c>
      <c r="I359" s="25">
        <v>0</v>
      </c>
      <c r="J359" s="22">
        <v>0</v>
      </c>
      <c r="K359" s="25">
        <v>1.2734925869326255E-4</v>
      </c>
      <c r="L359" s="22">
        <v>3.0740476600349214E-5</v>
      </c>
      <c r="M359" s="25">
        <v>0</v>
      </c>
      <c r="N359" s="19">
        <v>0</v>
      </c>
      <c r="O359" s="19">
        <v>0</v>
      </c>
      <c r="P359" s="16">
        <v>0</v>
      </c>
      <c r="Q359" s="19">
        <v>0</v>
      </c>
      <c r="R359" s="16">
        <v>0</v>
      </c>
      <c r="S359" s="25">
        <v>0</v>
      </c>
      <c r="T359" s="22">
        <v>3.1591184795794582E-5</v>
      </c>
      <c r="U359" s="25">
        <v>1.5915457091927681E-4</v>
      </c>
      <c r="V359" s="22">
        <v>0</v>
      </c>
      <c r="W359" s="25">
        <v>0</v>
      </c>
    </row>
    <row r="360" spans="1:23" x14ac:dyDescent="0.2">
      <c r="A360" s="6" t="s">
        <v>583</v>
      </c>
      <c r="B360" s="19">
        <v>0</v>
      </c>
      <c r="C360" s="16">
        <v>0</v>
      </c>
      <c r="D360" s="19">
        <v>0</v>
      </c>
      <c r="E360" s="16">
        <v>0</v>
      </c>
      <c r="F360" s="19">
        <v>0</v>
      </c>
      <c r="G360" s="16">
        <v>0</v>
      </c>
      <c r="H360" s="22">
        <v>0</v>
      </c>
      <c r="I360" s="25">
        <v>0</v>
      </c>
      <c r="J360" s="22">
        <v>0</v>
      </c>
      <c r="K360" s="25">
        <v>0</v>
      </c>
      <c r="L360" s="22">
        <v>0</v>
      </c>
      <c r="M360" s="25">
        <v>0</v>
      </c>
      <c r="N360" s="19">
        <v>0</v>
      </c>
      <c r="O360" s="19">
        <v>0</v>
      </c>
      <c r="P360" s="16">
        <v>0</v>
      </c>
      <c r="Q360" s="19">
        <v>0</v>
      </c>
      <c r="R360" s="16">
        <v>0</v>
      </c>
      <c r="S360" s="25">
        <v>0</v>
      </c>
      <c r="T360" s="22">
        <v>4.4227658714112412E-5</v>
      </c>
      <c r="U360" s="25">
        <v>0</v>
      </c>
      <c r="V360" s="22">
        <v>0</v>
      </c>
      <c r="W360" s="25">
        <v>0</v>
      </c>
    </row>
    <row r="361" spans="1:23" x14ac:dyDescent="0.2">
      <c r="A361" s="6" t="s">
        <v>582</v>
      </c>
      <c r="B361" s="19">
        <v>0</v>
      </c>
      <c r="C361" s="16">
        <v>0</v>
      </c>
      <c r="D361" s="19">
        <v>0</v>
      </c>
      <c r="E361" s="16">
        <v>0</v>
      </c>
      <c r="F361" s="19">
        <v>0</v>
      </c>
      <c r="G361" s="16">
        <v>0</v>
      </c>
      <c r="H361" s="22">
        <v>0</v>
      </c>
      <c r="I361" s="25">
        <v>0</v>
      </c>
      <c r="J361" s="22">
        <v>0</v>
      </c>
      <c r="K361" s="25">
        <v>0</v>
      </c>
      <c r="L361" s="22">
        <v>0</v>
      </c>
      <c r="M361" s="25">
        <v>0</v>
      </c>
      <c r="N361" s="19">
        <v>0</v>
      </c>
      <c r="O361" s="19">
        <v>0</v>
      </c>
      <c r="P361" s="16">
        <v>0</v>
      </c>
      <c r="Q361" s="19">
        <v>0</v>
      </c>
      <c r="R361" s="16">
        <v>0</v>
      </c>
      <c r="S361" s="25">
        <v>0</v>
      </c>
      <c r="T361" s="22">
        <v>7.5818843509906994E-5</v>
      </c>
      <c r="U361" s="25">
        <v>0</v>
      </c>
      <c r="V361" s="22">
        <v>0</v>
      </c>
      <c r="W361" s="25">
        <v>0</v>
      </c>
    </row>
    <row r="362" spans="1:23" x14ac:dyDescent="0.2">
      <c r="A362" s="6" t="s">
        <v>581</v>
      </c>
      <c r="B362" s="19">
        <v>7.2716695753344965E-5</v>
      </c>
      <c r="C362" s="16">
        <v>0</v>
      </c>
      <c r="D362" s="19">
        <v>1.2080298454432404E-4</v>
      </c>
      <c r="E362" s="16">
        <v>0</v>
      </c>
      <c r="F362" s="19">
        <v>3.0516414016188958E-5</v>
      </c>
      <c r="G362" s="16">
        <v>0</v>
      </c>
      <c r="H362" s="22">
        <v>0</v>
      </c>
      <c r="I362" s="25">
        <v>0</v>
      </c>
      <c r="J362" s="22">
        <v>0</v>
      </c>
      <c r="K362" s="25">
        <v>0</v>
      </c>
      <c r="L362" s="22">
        <v>0</v>
      </c>
      <c r="M362" s="25">
        <v>4.6558031260392418E-5</v>
      </c>
      <c r="N362" s="19">
        <v>0</v>
      </c>
      <c r="O362" s="19">
        <v>0</v>
      </c>
      <c r="P362" s="16">
        <v>0</v>
      </c>
      <c r="Q362" s="19">
        <v>0</v>
      </c>
      <c r="R362" s="16">
        <v>0</v>
      </c>
      <c r="S362" s="25">
        <v>0</v>
      </c>
      <c r="T362" s="22">
        <v>4.4227658714112412E-5</v>
      </c>
      <c r="U362" s="25">
        <v>0</v>
      </c>
      <c r="V362" s="22">
        <v>0</v>
      </c>
      <c r="W362" s="25">
        <v>0</v>
      </c>
    </row>
    <row r="363" spans="1:23" x14ac:dyDescent="0.2">
      <c r="A363" s="6" t="s">
        <v>580</v>
      </c>
      <c r="B363" s="19">
        <v>1.9831826114548629E-5</v>
      </c>
      <c r="C363" s="16">
        <v>0</v>
      </c>
      <c r="D363" s="19">
        <v>0</v>
      </c>
      <c r="E363" s="16">
        <v>0</v>
      </c>
      <c r="F363" s="19">
        <v>0</v>
      </c>
      <c r="G363" s="16">
        <v>0</v>
      </c>
      <c r="H363" s="22">
        <v>0</v>
      </c>
      <c r="I363" s="25">
        <v>0</v>
      </c>
      <c r="J363" s="22">
        <v>0</v>
      </c>
      <c r="K363" s="25">
        <v>0</v>
      </c>
      <c r="L363" s="22">
        <v>0</v>
      </c>
      <c r="M363" s="25">
        <v>0</v>
      </c>
      <c r="N363" s="19">
        <v>0</v>
      </c>
      <c r="O363" s="19">
        <v>0</v>
      </c>
      <c r="P363" s="16">
        <v>0</v>
      </c>
      <c r="Q363" s="19">
        <v>0</v>
      </c>
      <c r="R363" s="16">
        <v>0</v>
      </c>
      <c r="S363" s="25">
        <v>0</v>
      </c>
      <c r="T363" s="22">
        <v>0</v>
      </c>
      <c r="U363" s="25">
        <v>0</v>
      </c>
      <c r="V363" s="22">
        <v>0</v>
      </c>
      <c r="W363" s="25">
        <v>0</v>
      </c>
    </row>
    <row r="364" spans="1:23" x14ac:dyDescent="0.2">
      <c r="A364" s="6" t="s">
        <v>579</v>
      </c>
      <c r="B364" s="19">
        <v>0</v>
      </c>
      <c r="C364" s="16">
        <v>2.7700063710146532E-5</v>
      </c>
      <c r="D364" s="19">
        <v>0</v>
      </c>
      <c r="E364" s="16">
        <v>0</v>
      </c>
      <c r="F364" s="19">
        <v>0</v>
      </c>
      <c r="G364" s="16">
        <v>0</v>
      </c>
      <c r="H364" s="22">
        <v>0</v>
      </c>
      <c r="I364" s="25">
        <v>2.5757263548320626E-5</v>
      </c>
      <c r="J364" s="22">
        <v>3.9994667377682974E-5</v>
      </c>
      <c r="K364" s="25">
        <v>0</v>
      </c>
      <c r="L364" s="22">
        <v>0</v>
      </c>
      <c r="M364" s="25">
        <v>0</v>
      </c>
      <c r="N364" s="19">
        <v>0</v>
      </c>
      <c r="O364" s="19">
        <v>0</v>
      </c>
      <c r="P364" s="16">
        <v>0</v>
      </c>
      <c r="Q364" s="19">
        <v>0</v>
      </c>
      <c r="R364" s="16">
        <v>0</v>
      </c>
      <c r="S364" s="25">
        <v>0</v>
      </c>
      <c r="T364" s="22">
        <v>4.4227658714112412E-5</v>
      </c>
      <c r="U364" s="25">
        <v>0</v>
      </c>
      <c r="V364" s="22">
        <v>0</v>
      </c>
      <c r="W364" s="25">
        <v>0</v>
      </c>
    </row>
    <row r="365" spans="1:23" x14ac:dyDescent="0.2">
      <c r="A365" s="6" t="s">
        <v>578</v>
      </c>
      <c r="B365" s="19">
        <v>0</v>
      </c>
      <c r="C365" s="16">
        <v>0</v>
      </c>
      <c r="D365" s="19">
        <v>0</v>
      </c>
      <c r="E365" s="16">
        <v>0</v>
      </c>
      <c r="F365" s="19">
        <v>0</v>
      </c>
      <c r="G365" s="16">
        <v>0</v>
      </c>
      <c r="H365" s="22">
        <v>2.284192733656601E-4</v>
      </c>
      <c r="I365" s="25">
        <v>2.1893674016072533E-4</v>
      </c>
      <c r="J365" s="22">
        <v>1.3998133582189041E-4</v>
      </c>
      <c r="K365" s="25">
        <v>0</v>
      </c>
      <c r="L365" s="22">
        <v>3.6888571920419054E-5</v>
      </c>
      <c r="M365" s="25">
        <v>1.6627868307283005E-4</v>
      </c>
      <c r="N365" s="19">
        <v>0</v>
      </c>
      <c r="O365" s="19">
        <v>0</v>
      </c>
      <c r="P365" s="16">
        <v>0</v>
      </c>
      <c r="Q365" s="19">
        <v>0</v>
      </c>
      <c r="R365" s="16">
        <v>3.5704594467216042E-5</v>
      </c>
      <c r="S365" s="25">
        <v>4.5083630133898384E-5</v>
      </c>
      <c r="T365" s="22">
        <v>0</v>
      </c>
      <c r="U365" s="25">
        <v>6.3661828367710715E-5</v>
      </c>
      <c r="V365" s="22">
        <v>3.7809327561109323E-5</v>
      </c>
      <c r="W365" s="25">
        <v>0</v>
      </c>
    </row>
    <row r="366" spans="1:23" x14ac:dyDescent="0.2">
      <c r="A366" s="6" t="s">
        <v>577</v>
      </c>
      <c r="B366" s="19">
        <v>0</v>
      </c>
      <c r="C366" s="16">
        <v>0</v>
      </c>
      <c r="D366" s="19">
        <v>0</v>
      </c>
      <c r="E366" s="16">
        <v>0</v>
      </c>
      <c r="F366" s="19">
        <v>0</v>
      </c>
      <c r="G366" s="16">
        <v>0</v>
      </c>
      <c r="H366" s="22">
        <v>0</v>
      </c>
      <c r="I366" s="25">
        <v>0</v>
      </c>
      <c r="J366" s="22">
        <v>0</v>
      </c>
      <c r="K366" s="25">
        <v>0</v>
      </c>
      <c r="L366" s="22">
        <v>0</v>
      </c>
      <c r="M366" s="25">
        <v>0</v>
      </c>
      <c r="N366" s="19">
        <v>0</v>
      </c>
      <c r="O366" s="19">
        <v>0</v>
      </c>
      <c r="P366" s="16">
        <v>0</v>
      </c>
      <c r="Q366" s="19">
        <v>0</v>
      </c>
      <c r="R366" s="16">
        <v>0</v>
      </c>
      <c r="S366" s="25">
        <v>0</v>
      </c>
      <c r="T366" s="22">
        <v>1.2636473918317832E-5</v>
      </c>
      <c r="U366" s="25">
        <v>0</v>
      </c>
      <c r="V366" s="22">
        <v>0</v>
      </c>
      <c r="W366" s="25">
        <v>0</v>
      </c>
    </row>
    <row r="367" spans="1:23" x14ac:dyDescent="0.2">
      <c r="A367" s="6" t="s">
        <v>576</v>
      </c>
      <c r="B367" s="19">
        <v>0</v>
      </c>
      <c r="C367" s="16">
        <v>4.8475111492756433E-5</v>
      </c>
      <c r="D367" s="19">
        <v>4.3346953277669214E-4</v>
      </c>
      <c r="E367" s="16">
        <v>2.0378358183609007E-4</v>
      </c>
      <c r="F367" s="19">
        <v>0</v>
      </c>
      <c r="G367" s="16">
        <v>0</v>
      </c>
      <c r="H367" s="22">
        <v>0</v>
      </c>
      <c r="I367" s="25">
        <v>0</v>
      </c>
      <c r="J367" s="22">
        <v>0</v>
      </c>
      <c r="K367" s="25">
        <v>0</v>
      </c>
      <c r="L367" s="22">
        <v>4.918476256055874E-5</v>
      </c>
      <c r="M367" s="25">
        <v>0</v>
      </c>
      <c r="N367" s="19">
        <v>0</v>
      </c>
      <c r="O367" s="19">
        <v>0</v>
      </c>
      <c r="P367" s="16">
        <v>3.2332742721899616E-5</v>
      </c>
      <c r="Q367" s="19">
        <v>0</v>
      </c>
      <c r="R367" s="16">
        <v>0</v>
      </c>
      <c r="S367" s="25">
        <v>0</v>
      </c>
      <c r="T367" s="22">
        <v>5.1177719369187226E-4</v>
      </c>
      <c r="U367" s="25">
        <v>7.6394194041252861E-5</v>
      </c>
      <c r="V367" s="22">
        <v>0</v>
      </c>
      <c r="W367" s="25">
        <v>0</v>
      </c>
    </row>
    <row r="368" spans="1:23" x14ac:dyDescent="0.2">
      <c r="A368" s="6" t="s">
        <v>575</v>
      </c>
      <c r="B368" s="19">
        <v>1.0034904013961607E-2</v>
      </c>
      <c r="C368" s="16">
        <v>8.6077947979280346E-3</v>
      </c>
      <c r="D368" s="19">
        <v>5.0950435246047256E-3</v>
      </c>
      <c r="E368" s="16">
        <v>7.4516863091396946E-3</v>
      </c>
      <c r="F368" s="19">
        <v>1.8233557374672904E-3</v>
      </c>
      <c r="G368" s="16">
        <v>7.4043461790129833E-3</v>
      </c>
      <c r="H368" s="22">
        <v>1.102938777108473E-3</v>
      </c>
      <c r="I368" s="25">
        <v>1.9446733978982073E-3</v>
      </c>
      <c r="J368" s="22">
        <v>2.206372483668844E-3</v>
      </c>
      <c r="K368" s="25">
        <v>2.6475240623073004E-3</v>
      </c>
      <c r="L368" s="22">
        <v>4.9184762560558742E-3</v>
      </c>
      <c r="M368" s="25">
        <v>5.433987362820086E-3</v>
      </c>
      <c r="N368" s="19">
        <v>5.4266299313304213E-3</v>
      </c>
      <c r="O368" s="19">
        <v>2.472471049180846E-3</v>
      </c>
      <c r="P368" s="16">
        <v>4.5653832723322255E-3</v>
      </c>
      <c r="Q368" s="19">
        <v>6.1384077504070033E-3</v>
      </c>
      <c r="R368" s="16">
        <v>6.9409731644267982E-3</v>
      </c>
      <c r="S368" s="25">
        <v>1.1850554206624718E-3</v>
      </c>
      <c r="T368" s="22">
        <v>7.9041144359078032E-3</v>
      </c>
      <c r="U368" s="25">
        <v>3.3995416348357524E-3</v>
      </c>
      <c r="V368" s="22">
        <v>7.1837722366107715E-4</v>
      </c>
      <c r="W368" s="25">
        <v>3.6266227076035443E-3</v>
      </c>
    </row>
    <row r="369" spans="1:23" x14ac:dyDescent="0.2">
      <c r="A369" s="6" t="s">
        <v>186</v>
      </c>
      <c r="B369" s="19">
        <f>1-SUM(B2:B368)</f>
        <v>0.76541593949970899</v>
      </c>
      <c r="C369" s="16">
        <f t="shared" ref="C369:W369" si="0">1-SUM(C2:C368)</f>
        <v>0.77114899864269681</v>
      </c>
      <c r="D369" s="19">
        <f t="shared" si="0"/>
        <v>0.79675253153313197</v>
      </c>
      <c r="E369" s="16">
        <f t="shared" si="0"/>
        <v>0.76751010426926591</v>
      </c>
      <c r="F369" s="19">
        <f t="shared" si="0"/>
        <v>0.76535929262952296</v>
      </c>
      <c r="G369" s="16">
        <f t="shared" si="0"/>
        <v>0.78131349657333737</v>
      </c>
      <c r="H369" s="22">
        <f t="shared" si="0"/>
        <v>0.72589034569625444</v>
      </c>
      <c r="I369" s="25">
        <f t="shared" si="0"/>
        <v>0.79881001442406763</v>
      </c>
      <c r="J369" s="22">
        <f t="shared" si="0"/>
        <v>0.79382082389014785</v>
      </c>
      <c r="K369" s="25">
        <f t="shared" si="0"/>
        <v>0.83478779591946173</v>
      </c>
      <c r="L369" s="22">
        <f t="shared" si="0"/>
        <v>0.73400880407249847</v>
      </c>
      <c r="M369" s="25">
        <f t="shared" si="0"/>
        <v>0.77199201862321265</v>
      </c>
      <c r="N369" s="19">
        <f t="shared" si="0"/>
        <v>0.75027342325920521</v>
      </c>
      <c r="O369" s="19">
        <f t="shared" si="0"/>
        <v>0.75628386811381287</v>
      </c>
      <c r="P369" s="16">
        <f t="shared" si="0"/>
        <v>0.76688739152364827</v>
      </c>
      <c r="Q369" s="19">
        <f t="shared" si="0"/>
        <v>0.79787290827083712</v>
      </c>
      <c r="R369" s="16">
        <f t="shared" si="0"/>
        <v>0.79484140019137628</v>
      </c>
      <c r="S369" s="25">
        <f t="shared" si="0"/>
        <v>0.82024512613755662</v>
      </c>
      <c r="T369" s="22">
        <f t="shared" si="0"/>
        <v>0.76350207238172252</v>
      </c>
      <c r="U369" s="25">
        <f t="shared" si="0"/>
        <v>0.79314362108479752</v>
      </c>
      <c r="V369" s="22">
        <f t="shared" si="0"/>
        <v>0.8323156322664802</v>
      </c>
      <c r="W369" s="25">
        <f t="shared" si="0"/>
        <v>0.83375231815371931</v>
      </c>
    </row>
  </sheetData>
  <conditionalFormatting sqref="B1:W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65E9-2E2A-154B-9DF4-D156AFD79F1D}">
  <dimension ref="A1:F11"/>
  <sheetViews>
    <sheetView tabSelected="1" workbookViewId="0">
      <selection activeCell="K21" sqref="K21"/>
    </sheetView>
  </sheetViews>
  <sheetFormatPr baseColWidth="10" defaultRowHeight="15" x14ac:dyDescent="0.2"/>
  <sheetData>
    <row r="1" spans="1:6" x14ac:dyDescent="0.2">
      <c r="A1" t="s">
        <v>23</v>
      </c>
      <c r="B1" t="s">
        <v>944</v>
      </c>
      <c r="C1" t="s">
        <v>945</v>
      </c>
      <c r="D1" t="s">
        <v>23</v>
      </c>
      <c r="E1" t="s">
        <v>946</v>
      </c>
      <c r="F1" t="s">
        <v>947</v>
      </c>
    </row>
    <row r="2" spans="1:6" x14ac:dyDescent="0.2">
      <c r="A2" t="s">
        <v>56</v>
      </c>
      <c r="B2" s="8">
        <v>0.40862607192701877</v>
      </c>
      <c r="C2" s="8">
        <v>0.42764675706328664</v>
      </c>
      <c r="D2" t="s">
        <v>56</v>
      </c>
      <c r="E2" s="8">
        <v>0.31658425770643589</v>
      </c>
      <c r="F2" s="8">
        <v>0.30970895199592452</v>
      </c>
    </row>
    <row r="3" spans="1:6" x14ac:dyDescent="0.2">
      <c r="A3" t="s">
        <v>26</v>
      </c>
      <c r="B3" s="8">
        <v>0.19418996041254491</v>
      </c>
      <c r="C3" s="8">
        <v>0.1805602752742701</v>
      </c>
      <c r="D3" t="s">
        <v>26</v>
      </c>
      <c r="E3" s="8">
        <v>0.24372022354844783</v>
      </c>
      <c r="F3" s="8">
        <v>0.18880775506001479</v>
      </c>
    </row>
    <row r="4" spans="1:6" x14ac:dyDescent="0.2">
      <c r="A4" t="s">
        <v>25</v>
      </c>
      <c r="B4" s="8">
        <v>0.12392887576060924</v>
      </c>
      <c r="C4" s="8">
        <v>0.11497578070052206</v>
      </c>
      <c r="D4" t="s">
        <v>34</v>
      </c>
      <c r="E4" s="8">
        <v>0.13649059446556841</v>
      </c>
      <c r="F4" s="8">
        <v>0.14458678877310888</v>
      </c>
    </row>
    <row r="5" spans="1:6" x14ac:dyDescent="0.2">
      <c r="A5" t="s">
        <v>34</v>
      </c>
      <c r="B5" s="8">
        <v>5.8163709171528459E-2</v>
      </c>
      <c r="C5" s="8">
        <v>6.4493015639100995E-2</v>
      </c>
      <c r="D5" t="s">
        <v>25</v>
      </c>
      <c r="E5" s="8">
        <v>0.10831844477961812</v>
      </c>
      <c r="F5" s="8">
        <v>0.12612024440153322</v>
      </c>
    </row>
    <row r="6" spans="1:6" x14ac:dyDescent="0.2">
      <c r="A6" t="s">
        <v>40</v>
      </c>
      <c r="B6" s="8">
        <v>4.9529837706301059E-2</v>
      </c>
      <c r="C6" s="8">
        <v>6.5719871648335232E-2</v>
      </c>
      <c r="D6" t="s">
        <v>40</v>
      </c>
      <c r="E6" s="8">
        <v>3.4075376086132432E-2</v>
      </c>
      <c r="F6" s="8">
        <v>3.3617096898401228E-2</v>
      </c>
    </row>
    <row r="7" spans="1:6" x14ac:dyDescent="0.2">
      <c r="A7" t="s">
        <v>64</v>
      </c>
      <c r="B7" s="8">
        <v>3.8729601248211655E-2</v>
      </c>
      <c r="C7" s="8">
        <v>2.5149891524965433E-2</v>
      </c>
      <c r="D7" t="s">
        <v>64</v>
      </c>
      <c r="E7" s="8">
        <v>2.60263944466213E-2</v>
      </c>
      <c r="F7" s="8">
        <v>1.6199327654903815E-2</v>
      </c>
    </row>
    <row r="8" spans="1:6" x14ac:dyDescent="0.2">
      <c r="A8" t="s">
        <v>30</v>
      </c>
      <c r="B8" s="8">
        <v>1.6347187836807272E-2</v>
      </c>
      <c r="C8" s="8">
        <v>1.6835762893569504E-2</v>
      </c>
      <c r="D8" t="s">
        <v>27</v>
      </c>
      <c r="E8" s="8">
        <v>1.2436832322258314E-2</v>
      </c>
      <c r="F8" s="8">
        <v>2.7369533959524461E-2</v>
      </c>
    </row>
    <row r="9" spans="1:6" x14ac:dyDescent="0.2">
      <c r="A9" t="s">
        <v>55</v>
      </c>
      <c r="B9" s="8">
        <v>8.910842316747377E-3</v>
      </c>
      <c r="C9" s="8">
        <v>8.5334686316295167E-3</v>
      </c>
      <c r="D9" t="s">
        <v>30</v>
      </c>
      <c r="E9" s="8">
        <v>6.5226840674775452E-3</v>
      </c>
      <c r="F9" s="8">
        <v>6.2630155430342203E-3</v>
      </c>
    </row>
    <row r="11" spans="1:6" x14ac:dyDescent="0.2">
      <c r="B11" s="8"/>
      <c r="C11" s="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39F5-5B76-8240-B889-04CBCBF7296B}">
  <dimension ref="A1:M25"/>
  <sheetViews>
    <sheetView workbookViewId="0">
      <selection activeCell="P39" sqref="P39"/>
    </sheetView>
  </sheetViews>
  <sheetFormatPr baseColWidth="10" defaultRowHeight="16" x14ac:dyDescent="0.2"/>
  <cols>
    <col min="1" max="16384" width="10.83203125" style="28"/>
  </cols>
  <sheetData>
    <row r="1" spans="1:13" ht="34" x14ac:dyDescent="0.2">
      <c r="A1" s="32" t="s">
        <v>979</v>
      </c>
      <c r="B1" s="32" t="s">
        <v>978</v>
      </c>
      <c r="C1" s="32" t="s">
        <v>977</v>
      </c>
      <c r="D1" s="32" t="s">
        <v>976</v>
      </c>
      <c r="E1" s="28" t="s">
        <v>958</v>
      </c>
      <c r="F1" s="28" t="s">
        <v>959</v>
      </c>
      <c r="G1" s="28" t="s">
        <v>960</v>
      </c>
      <c r="H1" s="28" t="s">
        <v>975</v>
      </c>
      <c r="I1" s="28" t="s">
        <v>974</v>
      </c>
      <c r="J1" s="28" t="s">
        <v>973</v>
      </c>
      <c r="K1" s="28" t="s">
        <v>972</v>
      </c>
      <c r="L1" s="28" t="s">
        <v>971</v>
      </c>
      <c r="M1" s="28" t="s">
        <v>970</v>
      </c>
    </row>
    <row r="2" spans="1:13" x14ac:dyDescent="0.2">
      <c r="A2" s="31" t="s">
        <v>969</v>
      </c>
      <c r="B2" s="31" t="s">
        <v>967</v>
      </c>
      <c r="C2" s="30" t="s">
        <v>966</v>
      </c>
      <c r="D2" s="28" t="s">
        <v>968</v>
      </c>
      <c r="E2" s="28">
        <v>40.69</v>
      </c>
      <c r="F2" s="28">
        <v>5.2</v>
      </c>
      <c r="G2" s="28">
        <v>231.5</v>
      </c>
      <c r="H2" s="28">
        <v>2.2799999999999998</v>
      </c>
      <c r="I2" s="28">
        <f t="shared" ref="I2:I25" si="0">H2*10000</f>
        <v>22799.999999999996</v>
      </c>
      <c r="J2" s="28">
        <v>1897</v>
      </c>
      <c r="K2" s="28">
        <v>16.05</v>
      </c>
      <c r="L2" s="28" t="str">
        <f t="shared" ref="L2:L25" si="1">CONCATENATE(ROUND(I2/K2,0),":",ROUND(J2/K2,0),":", K2/K2)</f>
        <v>1421:118:1</v>
      </c>
      <c r="M2" s="28">
        <f t="shared" ref="M2:M25" si="2">I2/J2</f>
        <v>12.018977332630467</v>
      </c>
    </row>
    <row r="3" spans="1:13" x14ac:dyDescent="0.2">
      <c r="A3" s="31" t="s">
        <v>969</v>
      </c>
      <c r="B3" s="31" t="s">
        <v>967</v>
      </c>
      <c r="C3" s="30" t="s">
        <v>965</v>
      </c>
      <c r="D3" s="28" t="s">
        <v>968</v>
      </c>
      <c r="E3" s="28">
        <v>49.13</v>
      </c>
      <c r="F3" s="28">
        <v>5.82</v>
      </c>
      <c r="G3" s="28">
        <v>217</v>
      </c>
      <c r="H3" s="28">
        <v>5.08</v>
      </c>
      <c r="I3" s="28">
        <f t="shared" si="0"/>
        <v>50800</v>
      </c>
      <c r="J3" s="28">
        <v>4235</v>
      </c>
      <c r="K3" s="28">
        <v>19.350000000000001</v>
      </c>
      <c r="L3" s="28" t="str">
        <f t="shared" si="1"/>
        <v>2625:219:1</v>
      </c>
      <c r="M3" s="28">
        <f t="shared" si="2"/>
        <v>11.995277449822904</v>
      </c>
    </row>
    <row r="4" spans="1:13" x14ac:dyDescent="0.2">
      <c r="A4" s="31" t="s">
        <v>969</v>
      </c>
      <c r="B4" s="31" t="s">
        <v>967</v>
      </c>
      <c r="C4" s="30" t="s">
        <v>962</v>
      </c>
      <c r="D4" s="28" t="s">
        <v>968</v>
      </c>
      <c r="E4" s="28">
        <v>42.4</v>
      </c>
      <c r="F4" s="28">
        <v>5.86</v>
      </c>
      <c r="G4" s="28">
        <v>244.5</v>
      </c>
      <c r="H4" s="28">
        <v>1.17</v>
      </c>
      <c r="I4" s="28">
        <f t="shared" si="0"/>
        <v>11700</v>
      </c>
      <c r="J4" s="28">
        <v>1043</v>
      </c>
      <c r="K4" s="28">
        <v>11.45</v>
      </c>
      <c r="L4" s="28" t="str">
        <f t="shared" si="1"/>
        <v>1022:91:1</v>
      </c>
      <c r="M4" s="28">
        <f t="shared" si="2"/>
        <v>11.217641418983701</v>
      </c>
    </row>
    <row r="5" spans="1:13" x14ac:dyDescent="0.2">
      <c r="A5" s="31" t="s">
        <v>969</v>
      </c>
      <c r="B5" s="31" t="s">
        <v>963</v>
      </c>
      <c r="C5" s="30" t="s">
        <v>966</v>
      </c>
      <c r="D5" s="28" t="s">
        <v>968</v>
      </c>
      <c r="E5" s="28">
        <v>36.25</v>
      </c>
      <c r="F5" s="28">
        <v>5.2</v>
      </c>
      <c r="G5" s="28">
        <v>294.5</v>
      </c>
      <c r="H5" s="28">
        <v>2.09</v>
      </c>
      <c r="I5" s="28">
        <f t="shared" si="0"/>
        <v>20900</v>
      </c>
      <c r="J5" s="28">
        <v>2103.5</v>
      </c>
      <c r="K5" s="28">
        <v>11.05</v>
      </c>
      <c r="L5" s="28" t="str">
        <f t="shared" si="1"/>
        <v>1891:190:1</v>
      </c>
      <c r="M5" s="28">
        <f t="shared" si="2"/>
        <v>9.9358212502971242</v>
      </c>
    </row>
    <row r="6" spans="1:13" x14ac:dyDescent="0.2">
      <c r="A6" s="31" t="s">
        <v>969</v>
      </c>
      <c r="B6" s="31" t="s">
        <v>963</v>
      </c>
      <c r="C6" s="30" t="s">
        <v>965</v>
      </c>
      <c r="D6" s="28" t="s">
        <v>968</v>
      </c>
      <c r="E6" s="28">
        <v>41.75</v>
      </c>
      <c r="F6" s="28">
        <v>5.69</v>
      </c>
      <c r="G6" s="28">
        <v>186.5</v>
      </c>
      <c r="H6" s="28">
        <v>3.75</v>
      </c>
      <c r="I6" s="28">
        <f t="shared" si="0"/>
        <v>37500</v>
      </c>
      <c r="J6" s="28">
        <v>3853.5</v>
      </c>
      <c r="K6" s="28">
        <v>13.45</v>
      </c>
      <c r="L6" s="28" t="str">
        <f t="shared" si="1"/>
        <v>2788:287:1</v>
      </c>
      <c r="M6" s="28">
        <f t="shared" si="2"/>
        <v>9.7314130011677697</v>
      </c>
    </row>
    <row r="7" spans="1:13" x14ac:dyDescent="0.2">
      <c r="A7" s="31" t="s">
        <v>969</v>
      </c>
      <c r="B7" s="31" t="s">
        <v>963</v>
      </c>
      <c r="C7" s="30" t="s">
        <v>962</v>
      </c>
      <c r="D7" s="28" t="s">
        <v>968</v>
      </c>
      <c r="E7" s="28">
        <v>51.01</v>
      </c>
      <c r="F7" s="28">
        <v>5.07</v>
      </c>
      <c r="G7" s="28">
        <v>265.5</v>
      </c>
      <c r="H7" s="28">
        <v>2.4900000000000002</v>
      </c>
      <c r="I7" s="28">
        <f t="shared" si="0"/>
        <v>24900.000000000004</v>
      </c>
      <c r="J7" s="28">
        <v>2579.5</v>
      </c>
      <c r="K7" s="28">
        <v>8.8000000000000007</v>
      </c>
      <c r="L7" s="28" t="str">
        <f t="shared" si="1"/>
        <v>2830:293:1</v>
      </c>
      <c r="M7" s="28">
        <f t="shared" si="2"/>
        <v>9.6530335336305502</v>
      </c>
    </row>
    <row r="8" spans="1:13" x14ac:dyDescent="0.2">
      <c r="A8" s="31" t="s">
        <v>969</v>
      </c>
      <c r="B8" s="31" t="s">
        <v>967</v>
      </c>
      <c r="C8" s="30" t="s">
        <v>966</v>
      </c>
      <c r="D8" s="29" t="s">
        <v>961</v>
      </c>
      <c r="E8" s="28">
        <v>40.69</v>
      </c>
      <c r="F8" s="28">
        <v>5.2</v>
      </c>
      <c r="G8" s="28">
        <v>231.5</v>
      </c>
      <c r="H8" s="28">
        <v>2.2799999999999998</v>
      </c>
      <c r="I8" s="28">
        <f t="shared" si="0"/>
        <v>22799.999999999996</v>
      </c>
      <c r="J8" s="28">
        <v>1897</v>
      </c>
      <c r="K8" s="28">
        <v>16.05</v>
      </c>
      <c r="L8" s="28" t="str">
        <f t="shared" si="1"/>
        <v>1421:118:1</v>
      </c>
      <c r="M8" s="28">
        <f t="shared" si="2"/>
        <v>12.018977332630467</v>
      </c>
    </row>
    <row r="9" spans="1:13" x14ac:dyDescent="0.2">
      <c r="A9" s="31" t="s">
        <v>969</v>
      </c>
      <c r="B9" s="31" t="s">
        <v>967</v>
      </c>
      <c r="C9" s="30" t="s">
        <v>965</v>
      </c>
      <c r="D9" s="29" t="s">
        <v>961</v>
      </c>
      <c r="E9" s="28">
        <v>49.13</v>
      </c>
      <c r="F9" s="28">
        <v>5.82</v>
      </c>
      <c r="G9" s="28">
        <v>217</v>
      </c>
      <c r="H9" s="28">
        <v>5.08</v>
      </c>
      <c r="I9" s="28">
        <f t="shared" si="0"/>
        <v>50800</v>
      </c>
      <c r="J9" s="28">
        <v>4235</v>
      </c>
      <c r="K9" s="28">
        <v>19.350000000000001</v>
      </c>
      <c r="L9" s="28" t="str">
        <f t="shared" si="1"/>
        <v>2625:219:1</v>
      </c>
      <c r="M9" s="28">
        <f t="shared" si="2"/>
        <v>11.995277449822904</v>
      </c>
    </row>
    <row r="10" spans="1:13" x14ac:dyDescent="0.2">
      <c r="A10" s="31" t="s">
        <v>969</v>
      </c>
      <c r="B10" s="31" t="s">
        <v>967</v>
      </c>
      <c r="C10" s="30" t="s">
        <v>962</v>
      </c>
      <c r="D10" s="29" t="s">
        <v>961</v>
      </c>
      <c r="E10" s="28">
        <v>42.4</v>
      </c>
      <c r="F10" s="28">
        <v>5.86</v>
      </c>
      <c r="G10" s="28">
        <v>244.5</v>
      </c>
      <c r="H10" s="28">
        <v>1.17</v>
      </c>
      <c r="I10" s="28">
        <f t="shared" si="0"/>
        <v>11700</v>
      </c>
      <c r="J10" s="28">
        <v>1043</v>
      </c>
      <c r="K10" s="28">
        <v>11.45</v>
      </c>
      <c r="L10" s="28" t="str">
        <f t="shared" si="1"/>
        <v>1022:91:1</v>
      </c>
      <c r="M10" s="28">
        <f t="shared" si="2"/>
        <v>11.217641418983701</v>
      </c>
    </row>
    <row r="11" spans="1:13" x14ac:dyDescent="0.2">
      <c r="A11" s="31" t="s">
        <v>969</v>
      </c>
      <c r="B11" s="31" t="s">
        <v>963</v>
      </c>
      <c r="C11" s="30" t="s">
        <v>966</v>
      </c>
      <c r="D11" s="29" t="s">
        <v>961</v>
      </c>
      <c r="E11" s="28">
        <v>36.25</v>
      </c>
      <c r="F11" s="28">
        <v>5.2</v>
      </c>
      <c r="G11" s="28">
        <v>294.5</v>
      </c>
      <c r="H11" s="28">
        <v>2.09</v>
      </c>
      <c r="I11" s="28">
        <f t="shared" si="0"/>
        <v>20900</v>
      </c>
      <c r="J11" s="28">
        <v>2103.5</v>
      </c>
      <c r="K11" s="28">
        <v>11.05</v>
      </c>
      <c r="L11" s="28" t="str">
        <f t="shared" si="1"/>
        <v>1891:190:1</v>
      </c>
      <c r="M11" s="28">
        <f t="shared" si="2"/>
        <v>9.9358212502971242</v>
      </c>
    </row>
    <row r="12" spans="1:13" x14ac:dyDescent="0.2">
      <c r="A12" s="31" t="s">
        <v>969</v>
      </c>
      <c r="B12" s="31" t="s">
        <v>963</v>
      </c>
      <c r="C12" s="30" t="s">
        <v>965</v>
      </c>
      <c r="D12" s="29" t="s">
        <v>961</v>
      </c>
      <c r="E12" s="28">
        <v>41.75</v>
      </c>
      <c r="F12" s="28">
        <v>5.69</v>
      </c>
      <c r="G12" s="28">
        <v>186.5</v>
      </c>
      <c r="H12" s="28">
        <v>3.75</v>
      </c>
      <c r="I12" s="28">
        <f t="shared" si="0"/>
        <v>37500</v>
      </c>
      <c r="J12" s="28">
        <v>3853.5</v>
      </c>
      <c r="K12" s="28">
        <v>13.45</v>
      </c>
      <c r="L12" s="28" t="str">
        <f t="shared" si="1"/>
        <v>2788:287:1</v>
      </c>
      <c r="M12" s="28">
        <f t="shared" si="2"/>
        <v>9.7314130011677697</v>
      </c>
    </row>
    <row r="13" spans="1:13" x14ac:dyDescent="0.2">
      <c r="A13" s="31" t="s">
        <v>969</v>
      </c>
      <c r="B13" s="31" t="s">
        <v>963</v>
      </c>
      <c r="C13" s="30" t="s">
        <v>962</v>
      </c>
      <c r="D13" s="29" t="s">
        <v>961</v>
      </c>
      <c r="E13" s="28">
        <v>51.01</v>
      </c>
      <c r="F13" s="28">
        <v>5.07</v>
      </c>
      <c r="G13" s="28">
        <v>265.5</v>
      </c>
      <c r="H13" s="28">
        <v>2.4900000000000002</v>
      </c>
      <c r="I13" s="28">
        <f t="shared" si="0"/>
        <v>24900.000000000004</v>
      </c>
      <c r="J13" s="28">
        <v>2579.5</v>
      </c>
      <c r="K13" s="28">
        <v>8.8000000000000007</v>
      </c>
      <c r="L13" s="28" t="str">
        <f t="shared" si="1"/>
        <v>2830:293:1</v>
      </c>
      <c r="M13" s="28">
        <f t="shared" si="2"/>
        <v>9.6530335336305502</v>
      </c>
    </row>
    <row r="14" spans="1:13" x14ac:dyDescent="0.2">
      <c r="A14" s="31" t="s">
        <v>964</v>
      </c>
      <c r="B14" s="31" t="s">
        <v>967</v>
      </c>
      <c r="C14" s="30" t="s">
        <v>966</v>
      </c>
      <c r="D14" s="28" t="s">
        <v>968</v>
      </c>
      <c r="E14" s="28">
        <v>37.86</v>
      </c>
      <c r="F14" s="28">
        <v>5.05</v>
      </c>
      <c r="G14" s="28">
        <v>290.5</v>
      </c>
      <c r="H14" s="28">
        <v>2.64</v>
      </c>
      <c r="I14" s="28">
        <f t="shared" si="0"/>
        <v>26400</v>
      </c>
      <c r="J14" s="28">
        <v>2782.5</v>
      </c>
      <c r="K14" s="28">
        <v>27.95</v>
      </c>
      <c r="L14" s="28" t="str">
        <f t="shared" si="1"/>
        <v>945:100:1</v>
      </c>
      <c r="M14" s="28">
        <f t="shared" si="2"/>
        <v>9.4878706199460918</v>
      </c>
    </row>
    <row r="15" spans="1:13" x14ac:dyDescent="0.2">
      <c r="A15" s="31" t="s">
        <v>964</v>
      </c>
      <c r="B15" s="31" t="s">
        <v>967</v>
      </c>
      <c r="C15" s="30" t="s">
        <v>965</v>
      </c>
      <c r="D15" s="28" t="s">
        <v>968</v>
      </c>
      <c r="E15" s="28">
        <v>33.82</v>
      </c>
      <c r="F15" s="28">
        <v>4.6900000000000004</v>
      </c>
      <c r="G15" s="28">
        <v>310.5</v>
      </c>
      <c r="H15" s="28">
        <v>2.64</v>
      </c>
      <c r="I15" s="28">
        <f t="shared" si="0"/>
        <v>26400</v>
      </c>
      <c r="J15" s="28">
        <v>2723</v>
      </c>
      <c r="K15" s="28">
        <v>37.200000000000003</v>
      </c>
      <c r="L15" s="28" t="str">
        <f t="shared" si="1"/>
        <v>710:73:1</v>
      </c>
      <c r="M15" s="28">
        <f t="shared" si="2"/>
        <v>9.6951891296364305</v>
      </c>
    </row>
    <row r="16" spans="1:13" x14ac:dyDescent="0.2">
      <c r="A16" s="31" t="s">
        <v>964</v>
      </c>
      <c r="B16" s="31" t="s">
        <v>967</v>
      </c>
      <c r="C16" s="30" t="s">
        <v>962</v>
      </c>
      <c r="D16" s="28" t="s">
        <v>968</v>
      </c>
      <c r="E16" s="28">
        <v>33.5</v>
      </c>
      <c r="F16" s="28">
        <v>5.65</v>
      </c>
      <c r="G16" s="28">
        <v>271</v>
      </c>
      <c r="H16" s="28">
        <v>3.7</v>
      </c>
      <c r="I16" s="28">
        <f t="shared" si="0"/>
        <v>37000</v>
      </c>
      <c r="J16" s="28">
        <v>3192</v>
      </c>
      <c r="K16" s="28">
        <v>70.45</v>
      </c>
      <c r="L16" s="28" t="str">
        <f t="shared" si="1"/>
        <v>525:45:1</v>
      </c>
      <c r="M16" s="28">
        <f t="shared" si="2"/>
        <v>11.591478696741854</v>
      </c>
    </row>
    <row r="17" spans="1:13" x14ac:dyDescent="0.2">
      <c r="A17" s="31" t="s">
        <v>964</v>
      </c>
      <c r="B17" s="31" t="s">
        <v>963</v>
      </c>
      <c r="C17" s="30" t="s">
        <v>966</v>
      </c>
      <c r="D17" s="28" t="s">
        <v>968</v>
      </c>
      <c r="E17" s="28">
        <v>32.869999999999997</v>
      </c>
      <c r="F17" s="28">
        <v>4.79</v>
      </c>
      <c r="G17" s="28">
        <v>364</v>
      </c>
      <c r="H17" s="28">
        <v>2.31</v>
      </c>
      <c r="I17" s="28">
        <f t="shared" si="0"/>
        <v>23100</v>
      </c>
      <c r="J17" s="28">
        <v>2352</v>
      </c>
      <c r="K17" s="28">
        <v>25.5</v>
      </c>
      <c r="L17" s="28" t="str">
        <f t="shared" si="1"/>
        <v>906:92:1</v>
      </c>
      <c r="M17" s="28">
        <f t="shared" si="2"/>
        <v>9.8214285714285712</v>
      </c>
    </row>
    <row r="18" spans="1:13" x14ac:dyDescent="0.2">
      <c r="A18" s="31" t="s">
        <v>964</v>
      </c>
      <c r="B18" s="31" t="s">
        <v>963</v>
      </c>
      <c r="C18" s="30" t="s">
        <v>965</v>
      </c>
      <c r="D18" s="28" t="s">
        <v>968</v>
      </c>
      <c r="E18" s="28">
        <v>32.58</v>
      </c>
      <c r="F18" s="28">
        <v>5.65</v>
      </c>
      <c r="G18" s="28">
        <v>325.5</v>
      </c>
      <c r="H18" s="28">
        <v>2.2999999999999998</v>
      </c>
      <c r="I18" s="28">
        <f t="shared" si="0"/>
        <v>23000</v>
      </c>
      <c r="J18" s="28">
        <v>2282</v>
      </c>
      <c r="K18" s="28">
        <v>40.200000000000003</v>
      </c>
      <c r="L18" s="28" t="str">
        <f t="shared" si="1"/>
        <v>572:57:1</v>
      </c>
      <c r="M18" s="28">
        <f t="shared" si="2"/>
        <v>10.078878177037685</v>
      </c>
    </row>
    <row r="19" spans="1:13" x14ac:dyDescent="0.2">
      <c r="A19" s="31" t="s">
        <v>964</v>
      </c>
      <c r="B19" s="31" t="s">
        <v>963</v>
      </c>
      <c r="C19" s="30" t="s">
        <v>962</v>
      </c>
      <c r="D19" s="28" t="s">
        <v>968</v>
      </c>
      <c r="E19" s="28">
        <v>27.46</v>
      </c>
      <c r="F19" s="28">
        <v>4.84</v>
      </c>
      <c r="G19" s="28">
        <v>364</v>
      </c>
      <c r="H19" s="28">
        <v>2.0099999999999998</v>
      </c>
      <c r="I19" s="28">
        <f t="shared" si="0"/>
        <v>20099.999999999996</v>
      </c>
      <c r="J19" s="28">
        <v>2254</v>
      </c>
      <c r="K19" s="28">
        <v>23.3</v>
      </c>
      <c r="L19" s="28" t="str">
        <f t="shared" si="1"/>
        <v>863:97:1</v>
      </c>
      <c r="M19" s="28">
        <f t="shared" si="2"/>
        <v>8.9174800354924564</v>
      </c>
    </row>
    <row r="20" spans="1:13" x14ac:dyDescent="0.2">
      <c r="A20" s="31" t="s">
        <v>964</v>
      </c>
      <c r="B20" s="31" t="s">
        <v>967</v>
      </c>
      <c r="C20" s="30" t="s">
        <v>966</v>
      </c>
      <c r="D20" s="29" t="s">
        <v>961</v>
      </c>
      <c r="E20" s="28">
        <v>37.86</v>
      </c>
      <c r="F20" s="28">
        <v>5.05</v>
      </c>
      <c r="G20" s="28">
        <v>290.5</v>
      </c>
      <c r="H20" s="28">
        <v>2.64</v>
      </c>
      <c r="I20" s="28">
        <f t="shared" si="0"/>
        <v>26400</v>
      </c>
      <c r="J20" s="28">
        <v>2782.5</v>
      </c>
      <c r="K20" s="28">
        <v>27.95</v>
      </c>
      <c r="L20" s="28" t="str">
        <f t="shared" si="1"/>
        <v>945:100:1</v>
      </c>
      <c r="M20" s="28">
        <f t="shared" si="2"/>
        <v>9.4878706199460918</v>
      </c>
    </row>
    <row r="21" spans="1:13" x14ac:dyDescent="0.2">
      <c r="A21" s="31" t="s">
        <v>964</v>
      </c>
      <c r="B21" s="31" t="s">
        <v>967</v>
      </c>
      <c r="C21" s="30" t="s">
        <v>965</v>
      </c>
      <c r="D21" s="29" t="s">
        <v>961</v>
      </c>
      <c r="E21" s="28">
        <v>33.82</v>
      </c>
      <c r="F21" s="28">
        <v>4.6900000000000004</v>
      </c>
      <c r="G21" s="28">
        <v>310.5</v>
      </c>
      <c r="H21" s="28">
        <v>2.64</v>
      </c>
      <c r="I21" s="28">
        <f t="shared" si="0"/>
        <v>26400</v>
      </c>
      <c r="J21" s="28">
        <v>2723</v>
      </c>
      <c r="K21" s="28">
        <v>37.200000000000003</v>
      </c>
      <c r="L21" s="28" t="str">
        <f t="shared" si="1"/>
        <v>710:73:1</v>
      </c>
      <c r="M21" s="28">
        <f t="shared" si="2"/>
        <v>9.6951891296364305</v>
      </c>
    </row>
    <row r="22" spans="1:13" x14ac:dyDescent="0.2">
      <c r="A22" s="31" t="s">
        <v>964</v>
      </c>
      <c r="B22" s="31" t="s">
        <v>967</v>
      </c>
      <c r="C22" s="30" t="s">
        <v>962</v>
      </c>
      <c r="D22" s="29" t="s">
        <v>961</v>
      </c>
      <c r="E22" s="28">
        <v>33.5</v>
      </c>
      <c r="F22" s="28">
        <v>5.65</v>
      </c>
      <c r="G22" s="28">
        <v>271</v>
      </c>
      <c r="H22" s="28">
        <v>3.7</v>
      </c>
      <c r="I22" s="28">
        <f t="shared" si="0"/>
        <v>37000</v>
      </c>
      <c r="J22" s="28">
        <v>3192</v>
      </c>
      <c r="K22" s="28">
        <v>70.45</v>
      </c>
      <c r="L22" s="28" t="str">
        <f t="shared" si="1"/>
        <v>525:45:1</v>
      </c>
      <c r="M22" s="28">
        <f t="shared" si="2"/>
        <v>11.591478696741854</v>
      </c>
    </row>
    <row r="23" spans="1:13" x14ac:dyDescent="0.2">
      <c r="A23" s="31" t="s">
        <v>964</v>
      </c>
      <c r="B23" s="31" t="s">
        <v>963</v>
      </c>
      <c r="C23" s="30" t="s">
        <v>966</v>
      </c>
      <c r="D23" s="29" t="s">
        <v>961</v>
      </c>
      <c r="E23" s="28">
        <v>32.869999999999997</v>
      </c>
      <c r="F23" s="28">
        <v>4.79</v>
      </c>
      <c r="G23" s="28">
        <v>364</v>
      </c>
      <c r="H23" s="28">
        <v>2.31</v>
      </c>
      <c r="I23" s="28">
        <f t="shared" si="0"/>
        <v>23100</v>
      </c>
      <c r="J23" s="28">
        <v>2352</v>
      </c>
      <c r="K23" s="28">
        <v>25.5</v>
      </c>
      <c r="L23" s="28" t="str">
        <f t="shared" si="1"/>
        <v>906:92:1</v>
      </c>
      <c r="M23" s="28">
        <f t="shared" si="2"/>
        <v>9.8214285714285712</v>
      </c>
    </row>
    <row r="24" spans="1:13" x14ac:dyDescent="0.2">
      <c r="A24" s="31" t="s">
        <v>964</v>
      </c>
      <c r="B24" s="31" t="s">
        <v>963</v>
      </c>
      <c r="C24" s="30" t="s">
        <v>965</v>
      </c>
      <c r="D24" s="29" t="s">
        <v>961</v>
      </c>
      <c r="E24" s="28">
        <v>32.58</v>
      </c>
      <c r="F24" s="28">
        <v>5.65</v>
      </c>
      <c r="G24" s="28">
        <v>325.5</v>
      </c>
      <c r="H24" s="28">
        <v>2.2999999999999998</v>
      </c>
      <c r="I24" s="28">
        <f t="shared" si="0"/>
        <v>23000</v>
      </c>
      <c r="J24" s="28">
        <v>2282</v>
      </c>
      <c r="K24" s="28">
        <v>40.200000000000003</v>
      </c>
      <c r="L24" s="28" t="str">
        <f t="shared" si="1"/>
        <v>572:57:1</v>
      </c>
      <c r="M24" s="28">
        <f t="shared" si="2"/>
        <v>10.078878177037685</v>
      </c>
    </row>
    <row r="25" spans="1:13" x14ac:dyDescent="0.2">
      <c r="A25" s="31" t="s">
        <v>964</v>
      </c>
      <c r="B25" s="31" t="s">
        <v>963</v>
      </c>
      <c r="C25" s="30" t="s">
        <v>962</v>
      </c>
      <c r="D25" s="29" t="s">
        <v>961</v>
      </c>
      <c r="E25" s="28">
        <v>27.46</v>
      </c>
      <c r="F25" s="28">
        <v>4.84</v>
      </c>
      <c r="G25" s="28">
        <v>364</v>
      </c>
      <c r="H25" s="28">
        <v>2.0099999999999998</v>
      </c>
      <c r="I25" s="28">
        <f t="shared" si="0"/>
        <v>20099.999999999996</v>
      </c>
      <c r="J25" s="28">
        <v>2254</v>
      </c>
      <c r="K25" s="28">
        <v>23.3</v>
      </c>
      <c r="L25" s="28" t="str">
        <f t="shared" si="1"/>
        <v>863:97:1</v>
      </c>
      <c r="M25" s="28">
        <f t="shared" si="2"/>
        <v>8.9174800354924564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Phylum</vt:lpstr>
      <vt:lpstr>Class</vt:lpstr>
      <vt:lpstr>Class (2)</vt:lpstr>
      <vt:lpstr>Order</vt:lpstr>
      <vt:lpstr>Family</vt:lpstr>
      <vt:lpstr>Genus</vt:lpstr>
      <vt:lpstr>Phylum distribuition</vt:lpstr>
      <vt:lpstr>C N P_C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Francisca Morales González</dc:creator>
  <cp:lastModifiedBy>Karen Luko Sulato</cp:lastModifiedBy>
  <dcterms:created xsi:type="dcterms:W3CDTF">2024-05-24T14:00:53Z</dcterms:created>
  <dcterms:modified xsi:type="dcterms:W3CDTF">2026-03-02T19:09:10Z</dcterms:modified>
</cp:coreProperties>
</file>